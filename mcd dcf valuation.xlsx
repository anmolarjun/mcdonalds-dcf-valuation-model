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inance Project\"/>
    </mc:Choice>
  </mc:AlternateContent>
  <xr:revisionPtr revIDLastSave="0" documentId="13_ncr:1_{6675CFD3-B802-4DCE-B0ED-7F7C12030346}" xr6:coauthVersionLast="47" xr6:coauthVersionMax="47" xr10:uidLastSave="{00000000-0000-0000-0000-000000000000}"/>
  <bookViews>
    <workbookView xWindow="-110" yWindow="-110" windowWidth="19420" windowHeight="10420" xr2:uid="{9417990A-F69C-4B9F-AF05-8ABFB7484409}"/>
  </bookViews>
  <sheets>
    <sheet name="DCF" sheetId="1" r:id="rId1"/>
    <sheet name="INPUT&gt;&gt;&gt;" sheetId="5" r:id="rId2"/>
    <sheet name="IS" sheetId="2" r:id="rId3"/>
    <sheet name="BS" sheetId="4" r:id="rId4"/>
    <sheet name="WACC" sheetId="3" r:id="rId5"/>
  </sheets>
  <definedNames>
    <definedName name="tgr">WACC!$B$10</definedName>
    <definedName name="wacc">WACC!$B$23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9" i="1" l="1"/>
  <c r="B13" i="3"/>
  <c r="H27" i="1"/>
  <c r="B20" i="3" l="1"/>
  <c r="B21" i="3" s="1"/>
  <c r="B23" i="3"/>
  <c r="R90" i="1" s="1"/>
  <c r="M86" i="1" l="1"/>
  <c r="N85" i="1"/>
  <c r="N86" i="1" s="1"/>
  <c r="N81" i="1"/>
  <c r="O81" i="1"/>
  <c r="P81" i="1"/>
  <c r="Q81" i="1"/>
  <c r="R81" i="1"/>
  <c r="M81" i="1"/>
  <c r="I114" i="1"/>
  <c r="J114" i="1"/>
  <c r="K114" i="1"/>
  <c r="L114" i="1"/>
  <c r="H114" i="1"/>
  <c r="P28" i="2"/>
  <c r="O28" i="2"/>
  <c r="P30" i="2"/>
  <c r="O30" i="2"/>
  <c r="H30" i="2"/>
  <c r="I30" i="2"/>
  <c r="J30" i="2"/>
  <c r="K30" i="2"/>
  <c r="L30" i="2"/>
  <c r="M30" i="2"/>
  <c r="N30" i="2"/>
  <c r="G30" i="2"/>
  <c r="I76" i="1"/>
  <c r="J76" i="1" s="1"/>
  <c r="K76" i="1" s="1"/>
  <c r="L76" i="1" s="1"/>
  <c r="M76" i="1" s="1"/>
  <c r="N76" i="1" s="1"/>
  <c r="O76" i="1" s="1"/>
  <c r="P76" i="1" s="1"/>
  <c r="Q76" i="1" s="1"/>
  <c r="R76" i="1" s="1"/>
  <c r="N51" i="1"/>
  <c r="O51" i="1"/>
  <c r="P51" i="1"/>
  <c r="Q51" i="1"/>
  <c r="R51" i="1"/>
  <c r="M51" i="1"/>
  <c r="I50" i="1"/>
  <c r="J50" i="1"/>
  <c r="K50" i="1"/>
  <c r="L50" i="1"/>
  <c r="H50" i="1"/>
  <c r="N45" i="1"/>
  <c r="O45" i="1"/>
  <c r="P45" i="1"/>
  <c r="Q45" i="1"/>
  <c r="R45" i="1"/>
  <c r="M45" i="1"/>
  <c r="I42" i="1"/>
  <c r="J42" i="1"/>
  <c r="K42" i="1"/>
  <c r="L42" i="1"/>
  <c r="H42" i="1"/>
  <c r="N37" i="1"/>
  <c r="O37" i="1"/>
  <c r="P37" i="1"/>
  <c r="Q37" i="1"/>
  <c r="R37" i="1"/>
  <c r="M37" i="1"/>
  <c r="M28" i="1"/>
  <c r="N28" i="1"/>
  <c r="O28" i="1"/>
  <c r="P28" i="1"/>
  <c r="Q28" i="1"/>
  <c r="R28" i="1"/>
  <c r="O85" i="1" l="1"/>
  <c r="I65" i="1"/>
  <c r="J65" i="1"/>
  <c r="K65" i="1"/>
  <c r="L65" i="1"/>
  <c r="H65" i="1"/>
  <c r="I59" i="1"/>
  <c r="J59" i="1"/>
  <c r="K59" i="1"/>
  <c r="L59" i="1"/>
  <c r="H59" i="1"/>
  <c r="I33" i="1"/>
  <c r="I112" i="1" s="1"/>
  <c r="J33" i="1"/>
  <c r="J112" i="1" s="1"/>
  <c r="K33" i="1"/>
  <c r="K112" i="1" s="1"/>
  <c r="L33" i="1"/>
  <c r="L112" i="1" s="1"/>
  <c r="M112" i="1" s="1"/>
  <c r="N112" i="1" s="1"/>
  <c r="O112" i="1" s="1"/>
  <c r="P112" i="1" s="1"/>
  <c r="Q112" i="1" s="1"/>
  <c r="R112" i="1" s="1"/>
  <c r="H33" i="1"/>
  <c r="H112" i="1" s="1"/>
  <c r="I27" i="1"/>
  <c r="I107" i="1" s="1"/>
  <c r="J27" i="1"/>
  <c r="J107" i="1" s="1"/>
  <c r="K27" i="1"/>
  <c r="K107" i="1" s="1"/>
  <c r="L27" i="1"/>
  <c r="I26" i="1"/>
  <c r="J26" i="1" s="1"/>
  <c r="K26" i="1" s="1"/>
  <c r="L26" i="1" s="1"/>
  <c r="M26" i="1" s="1"/>
  <c r="N26" i="1" s="1"/>
  <c r="O26" i="1" s="1"/>
  <c r="P26" i="1" s="1"/>
  <c r="Q26" i="1" s="1"/>
  <c r="R26" i="1" s="1"/>
  <c r="O86" i="1" l="1"/>
  <c r="P85" i="1"/>
  <c r="L104" i="1"/>
  <c r="L109" i="1" s="1"/>
  <c r="L116" i="1" s="1"/>
  <c r="L107" i="1"/>
  <c r="H104" i="1"/>
  <c r="H107" i="1"/>
  <c r="I104" i="1"/>
  <c r="I109" i="1" s="1"/>
  <c r="I116" i="1" s="1"/>
  <c r="K104" i="1"/>
  <c r="K109" i="1" s="1"/>
  <c r="K116" i="1" s="1"/>
  <c r="L117" i="1" s="1"/>
  <c r="J104" i="1"/>
  <c r="J109" i="1" s="1"/>
  <c r="J116" i="1" s="1"/>
  <c r="J60" i="1"/>
  <c r="H60" i="1"/>
  <c r="I60" i="1"/>
  <c r="M27" i="1"/>
  <c r="J29" i="2"/>
  <c r="J51" i="1"/>
  <c r="H29" i="2"/>
  <c r="L60" i="1"/>
  <c r="M60" i="1" s="1"/>
  <c r="N60" i="1" s="1"/>
  <c r="O60" i="1" s="1"/>
  <c r="P60" i="1" s="1"/>
  <c r="Q60" i="1" s="1"/>
  <c r="R60" i="1" s="1"/>
  <c r="K51" i="1"/>
  <c r="I29" i="2"/>
  <c r="H51" i="1"/>
  <c r="F29" i="2"/>
  <c r="I51" i="1"/>
  <c r="G29" i="2"/>
  <c r="K60" i="1"/>
  <c r="M44" i="1"/>
  <c r="L51" i="1"/>
  <c r="J35" i="1"/>
  <c r="K28" i="1"/>
  <c r="I28" i="1"/>
  <c r="K35" i="1"/>
  <c r="K44" i="1" s="1"/>
  <c r="K56" i="1" s="1"/>
  <c r="L28" i="1"/>
  <c r="I35" i="1"/>
  <c r="I44" i="1" s="1"/>
  <c r="I56" i="1" s="1"/>
  <c r="J28" i="1"/>
  <c r="L35" i="1"/>
  <c r="L44" i="1" s="1"/>
  <c r="L56" i="1" s="1"/>
  <c r="H35" i="1"/>
  <c r="H44" i="1" s="1"/>
  <c r="H56" i="1" s="1"/>
  <c r="M107" i="1" l="1"/>
  <c r="N107" i="1" s="1"/>
  <c r="O107" i="1" s="1"/>
  <c r="P107" i="1" s="1"/>
  <c r="Q107" i="1" s="1"/>
  <c r="R107" i="1" s="1"/>
  <c r="Q85" i="1"/>
  <c r="P86" i="1"/>
  <c r="J117" i="1"/>
  <c r="M106" i="1"/>
  <c r="K117" i="1"/>
  <c r="H109" i="1"/>
  <c r="H116" i="1" s="1"/>
  <c r="I117" i="1" s="1"/>
  <c r="M104" i="1"/>
  <c r="N104" i="1" s="1"/>
  <c r="O104" i="1" s="1"/>
  <c r="P104" i="1" s="1"/>
  <c r="Q104" i="1" s="1"/>
  <c r="R104" i="1" s="1"/>
  <c r="M59" i="1"/>
  <c r="K29" i="2"/>
  <c r="N27" i="1"/>
  <c r="N106" i="1" s="1"/>
  <c r="M50" i="1"/>
  <c r="M80" i="1" s="1"/>
  <c r="J36" i="1"/>
  <c r="J44" i="1"/>
  <c r="J56" i="1" s="1"/>
  <c r="K36" i="1"/>
  <c r="I36" i="1"/>
  <c r="H36" i="1"/>
  <c r="L36" i="1"/>
  <c r="M36" i="1" s="1"/>
  <c r="R85" i="1" l="1"/>
  <c r="R86" i="1" s="1"/>
  <c r="Q86" i="1"/>
  <c r="N44" i="1"/>
  <c r="N103" i="1"/>
  <c r="N109" i="1" s="1"/>
  <c r="M103" i="1"/>
  <c r="M109" i="1" s="1"/>
  <c r="N50" i="1"/>
  <c r="N80" i="1" s="1"/>
  <c r="O27" i="1"/>
  <c r="O106" i="1" s="1"/>
  <c r="M56" i="1"/>
  <c r="L29" i="2"/>
  <c r="N59" i="1"/>
  <c r="J45" i="1"/>
  <c r="J62" i="1"/>
  <c r="N36" i="1"/>
  <c r="M35" i="1"/>
  <c r="J57" i="1"/>
  <c r="K45" i="1"/>
  <c r="L45" i="1"/>
  <c r="I45" i="1"/>
  <c r="H45" i="1"/>
  <c r="O44" i="1" l="1"/>
  <c r="N56" i="1"/>
  <c r="N77" i="1" s="1"/>
  <c r="M29" i="2"/>
  <c r="O103" i="1"/>
  <c r="O109" i="1" s="1"/>
  <c r="O59" i="1"/>
  <c r="P27" i="1"/>
  <c r="P106" i="1" s="1"/>
  <c r="O50" i="1"/>
  <c r="O80" i="1" s="1"/>
  <c r="M62" i="1"/>
  <c r="M77" i="1"/>
  <c r="N57" i="1"/>
  <c r="M33" i="1"/>
  <c r="M111" i="1" s="1"/>
  <c r="M114" i="1" s="1"/>
  <c r="M116" i="1" s="1"/>
  <c r="M117" i="1" s="1"/>
  <c r="M82" i="1" s="1"/>
  <c r="M42" i="1"/>
  <c r="O36" i="1"/>
  <c r="N35" i="1"/>
  <c r="J63" i="1"/>
  <c r="J68" i="1"/>
  <c r="J69" i="1" s="1"/>
  <c r="J66" i="1"/>
  <c r="I57" i="1"/>
  <c r="I62" i="1"/>
  <c r="H57" i="1"/>
  <c r="H62" i="1"/>
  <c r="K57" i="1"/>
  <c r="K62" i="1"/>
  <c r="M57" i="1"/>
  <c r="L57" i="1"/>
  <c r="L62" i="1"/>
  <c r="N62" i="1" l="1"/>
  <c r="P59" i="1"/>
  <c r="O56" i="1"/>
  <c r="O57" i="1" s="1"/>
  <c r="N29" i="2"/>
  <c r="O29" i="2" s="1"/>
  <c r="P29" i="2" s="1"/>
  <c r="P103" i="1"/>
  <c r="P109" i="1" s="1"/>
  <c r="P50" i="1"/>
  <c r="P80" i="1" s="1"/>
  <c r="Q27" i="1"/>
  <c r="Q106" i="1" s="1"/>
  <c r="P44" i="1"/>
  <c r="N63" i="1"/>
  <c r="M63" i="1"/>
  <c r="N33" i="1"/>
  <c r="N111" i="1" s="1"/>
  <c r="N114" i="1" s="1"/>
  <c r="N116" i="1" s="1"/>
  <c r="N117" i="1" s="1"/>
  <c r="N82" i="1" s="1"/>
  <c r="N42" i="1"/>
  <c r="P36" i="1"/>
  <c r="O35" i="1"/>
  <c r="L63" i="1"/>
  <c r="L68" i="1"/>
  <c r="L69" i="1" s="1"/>
  <c r="L66" i="1"/>
  <c r="H63" i="1"/>
  <c r="H68" i="1"/>
  <c r="H69" i="1" s="1"/>
  <c r="H66" i="1"/>
  <c r="K63" i="1"/>
  <c r="K68" i="1"/>
  <c r="K69" i="1" s="1"/>
  <c r="K66" i="1"/>
  <c r="I63" i="1"/>
  <c r="I68" i="1"/>
  <c r="I69" i="1" s="1"/>
  <c r="I66" i="1"/>
  <c r="O62" i="1" l="1"/>
  <c r="O77" i="1"/>
  <c r="P56" i="1"/>
  <c r="P77" i="1" s="1"/>
  <c r="Q59" i="1"/>
  <c r="Q103" i="1"/>
  <c r="Q109" i="1" s="1"/>
  <c r="R27" i="1"/>
  <c r="R106" i="1" s="1"/>
  <c r="Q50" i="1"/>
  <c r="Q80" i="1" s="1"/>
  <c r="Q44" i="1"/>
  <c r="O63" i="1"/>
  <c r="M66" i="1"/>
  <c r="O33" i="1"/>
  <c r="O111" i="1" s="1"/>
  <c r="O114" i="1" s="1"/>
  <c r="O116" i="1" s="1"/>
  <c r="O117" i="1" s="1"/>
  <c r="O82" i="1" s="1"/>
  <c r="O42" i="1"/>
  <c r="Q36" i="1"/>
  <c r="P35" i="1"/>
  <c r="R44" i="1" l="1"/>
  <c r="P57" i="1"/>
  <c r="P62" i="1"/>
  <c r="P63" i="1" s="1"/>
  <c r="Q56" i="1"/>
  <c r="Q57" i="1" s="1"/>
  <c r="R59" i="1"/>
  <c r="R103" i="1"/>
  <c r="R109" i="1" s="1"/>
  <c r="R50" i="1"/>
  <c r="R80" i="1" s="1"/>
  <c r="N66" i="1"/>
  <c r="M78" i="1"/>
  <c r="M79" i="1" s="1"/>
  <c r="M83" i="1" s="1"/>
  <c r="M88" i="1" s="1"/>
  <c r="M65" i="1"/>
  <c r="M68" i="1" s="1"/>
  <c r="M69" i="1" s="1"/>
  <c r="P33" i="1"/>
  <c r="P111" i="1" s="1"/>
  <c r="P114" i="1" s="1"/>
  <c r="P116" i="1" s="1"/>
  <c r="P117" i="1" s="1"/>
  <c r="P82" i="1" s="1"/>
  <c r="P42" i="1"/>
  <c r="R36" i="1"/>
  <c r="R35" i="1" s="1"/>
  <c r="Q35" i="1"/>
  <c r="Q62" i="1" l="1"/>
  <c r="Q63" i="1" s="1"/>
  <c r="Q77" i="1"/>
  <c r="R56" i="1"/>
  <c r="R62" i="1" s="1"/>
  <c r="R63" i="1" s="1"/>
  <c r="N78" i="1"/>
  <c r="N79" i="1" s="1"/>
  <c r="N83" i="1" s="1"/>
  <c r="N88" i="1" s="1"/>
  <c r="O66" i="1"/>
  <c r="N65" i="1"/>
  <c r="N68" i="1" s="1"/>
  <c r="N69" i="1" s="1"/>
  <c r="Q33" i="1"/>
  <c r="Q111" i="1" s="1"/>
  <c r="Q114" i="1" s="1"/>
  <c r="Q116" i="1" s="1"/>
  <c r="Q117" i="1" s="1"/>
  <c r="Q82" i="1" s="1"/>
  <c r="Q42" i="1"/>
  <c r="R33" i="1"/>
  <c r="R111" i="1" s="1"/>
  <c r="R114" i="1" s="1"/>
  <c r="R116" i="1" s="1"/>
  <c r="R42" i="1"/>
  <c r="R117" i="1" l="1"/>
  <c r="R82" i="1" s="1"/>
  <c r="R57" i="1"/>
  <c r="R77" i="1"/>
  <c r="P66" i="1"/>
  <c r="O78" i="1"/>
  <c r="O79" i="1" s="1"/>
  <c r="O83" i="1" s="1"/>
  <c r="O88" i="1" s="1"/>
  <c r="O65" i="1"/>
  <c r="O68" i="1" s="1"/>
  <c r="O69" i="1" s="1"/>
  <c r="Q66" i="1" l="1"/>
  <c r="P78" i="1"/>
  <c r="P79" i="1" s="1"/>
  <c r="P83" i="1" s="1"/>
  <c r="P88" i="1" s="1"/>
  <c r="P65" i="1"/>
  <c r="P68" i="1" s="1"/>
  <c r="P69" i="1" s="1"/>
  <c r="R66" i="1" l="1"/>
  <c r="Q78" i="1"/>
  <c r="Q79" i="1" s="1"/>
  <c r="Q83" i="1" s="1"/>
  <c r="Q88" i="1" s="1"/>
  <c r="Q65" i="1"/>
  <c r="Q68" i="1" s="1"/>
  <c r="Q69" i="1" s="1"/>
  <c r="R78" i="1" l="1"/>
  <c r="R79" i="1" s="1"/>
  <c r="R83" i="1" s="1"/>
  <c r="R65" i="1"/>
  <c r="R68" i="1" s="1"/>
  <c r="R69" i="1" s="1"/>
  <c r="R88" i="1" l="1"/>
  <c r="R91" i="1"/>
  <c r="R94" i="1" s="1"/>
  <c r="R97" i="1" s="1"/>
</calcChain>
</file>

<file path=xl/sharedStrings.xml><?xml version="1.0" encoding="utf-8"?>
<sst xmlns="http://schemas.openxmlformats.org/spreadsheetml/2006/main" count="158" uniqueCount="126">
  <si>
    <t>Line Item</t>
  </si>
  <si>
    <t>Sep-25 LTM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</si>
  <si>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</si>
  <si>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</si>
  <si>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</si>
  <si>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</si>
  <si>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</si>
  <si>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</si>
  <si>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</si>
  <si>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</si>
  <si>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Other SG&amp;A</t>
  </si>
  <si>
    <t>EBIT (Operating Income)</t>
  </si>
  <si>
    <t>Nonoperating Income - Net</t>
  </si>
  <si>
    <t>Nonoperating Interest Income</t>
  </si>
  <si>
    <t>Equity in Earnings of Affiliates</t>
  </si>
  <si>
    <t>Other Income (Expense)</t>
  </si>
  <si>
    <t>Interest Expense</t>
  </si>
  <si>
    <t>Gross Interest Expense</t>
  </si>
  <si>
    <t>Interest Capitalized</t>
  </si>
  <si>
    <t>Unusual Expense - Net</t>
  </si>
  <si>
    <t>Restructuring Expense</t>
  </si>
  <si>
    <t>Pretax Income</t>
  </si>
  <si>
    <t>Income Taxes</t>
  </si>
  <si>
    <t>Consolidated Net Income</t>
  </si>
  <si>
    <t>Net Income</t>
  </si>
  <si>
    <t>Assumptions</t>
  </si>
  <si>
    <t>Income statement</t>
  </si>
  <si>
    <t>Actuals</t>
  </si>
  <si>
    <t>Projection</t>
  </si>
  <si>
    <t>$M</t>
  </si>
  <si>
    <t>Revenue</t>
  </si>
  <si>
    <t>% growth</t>
  </si>
  <si>
    <t>COGS</t>
  </si>
  <si>
    <t>Gross Profit</t>
  </si>
  <si>
    <t>% margin</t>
  </si>
  <si>
    <t>EBITDA</t>
  </si>
  <si>
    <t>D&amp;A</t>
  </si>
  <si>
    <t>EBIT</t>
  </si>
  <si>
    <t>Net income</t>
  </si>
  <si>
    <t>% of sales</t>
  </si>
  <si>
    <t>Interests</t>
  </si>
  <si>
    <t>Taxable income</t>
  </si>
  <si>
    <t>Taxes</t>
  </si>
  <si>
    <t>% Tax rate</t>
  </si>
  <si>
    <t>Selected Case</t>
  </si>
  <si>
    <t>Base Case</t>
  </si>
  <si>
    <t>Conservative Case</t>
  </si>
  <si>
    <t>Optimistic Case</t>
  </si>
  <si>
    <t>Opex</t>
  </si>
  <si>
    <t>DCF</t>
  </si>
  <si>
    <t>(1-Tax)</t>
  </si>
  <si>
    <t>NOPAT</t>
  </si>
  <si>
    <t>Plus D&amp;A</t>
  </si>
  <si>
    <t>Less Capex</t>
  </si>
  <si>
    <t>Less changes in WC</t>
  </si>
  <si>
    <t>Free Cash Flow</t>
  </si>
  <si>
    <t>Capex</t>
  </si>
  <si>
    <t>Working Cap Calculations</t>
  </si>
  <si>
    <t>AR</t>
  </si>
  <si>
    <t>Inventories</t>
  </si>
  <si>
    <t>Total Current Assets</t>
  </si>
  <si>
    <t>AP</t>
  </si>
  <si>
    <t>Total Current Liabilities</t>
  </si>
  <si>
    <t>WC</t>
  </si>
  <si>
    <t>changes in WC</t>
  </si>
  <si>
    <t>% of cogs</t>
  </si>
  <si>
    <t>Discount Period</t>
  </si>
  <si>
    <t>WACC</t>
  </si>
  <si>
    <t>Ke*Equity/(debt + equity) + Kdat*Debt/(debt + equity)</t>
  </si>
  <si>
    <t>Formula =</t>
  </si>
  <si>
    <t xml:space="preserve">Ke           =  </t>
  </si>
  <si>
    <t>Cost of equity</t>
  </si>
  <si>
    <t>Rf + Beta (Rm - Rf)</t>
  </si>
  <si>
    <t>Rf</t>
  </si>
  <si>
    <t>MRP</t>
  </si>
  <si>
    <t>Beta</t>
  </si>
  <si>
    <t>Ke</t>
  </si>
  <si>
    <t>kdat       =</t>
  </si>
  <si>
    <t>cost of debt after tax</t>
  </si>
  <si>
    <t>equity</t>
  </si>
  <si>
    <t>debt</t>
  </si>
  <si>
    <t>equity %</t>
  </si>
  <si>
    <t>debt %</t>
  </si>
  <si>
    <t>10 yr treas yield - google</t>
  </si>
  <si>
    <t>factset</t>
  </si>
  <si>
    <t>damodran</t>
  </si>
  <si>
    <t>Yahoo finance</t>
  </si>
  <si>
    <t>Discount Factor</t>
  </si>
  <si>
    <t>Discounted FCF</t>
  </si>
  <si>
    <t>Terminal Value</t>
  </si>
  <si>
    <t>Discounted TV</t>
  </si>
  <si>
    <t>Enterprise Value</t>
  </si>
  <si>
    <t>Plus Cash</t>
  </si>
  <si>
    <t>Less Debt</t>
  </si>
  <si>
    <t>Equity Value</t>
  </si>
  <si>
    <t>DCF model</t>
  </si>
  <si>
    <t>Overview</t>
  </si>
  <si>
    <t>No of shares</t>
  </si>
  <si>
    <t>Price per share</t>
  </si>
  <si>
    <t>ASSETS</t>
  </si>
  <si>
    <t>Cash &amp; Short-Term Investments</t>
  </si>
  <si>
    <t>Short-Term Receivables</t>
  </si>
  <si>
    <t>Other Current Assets</t>
  </si>
  <si>
    <t>Net PP&amp;E</t>
  </si>
  <si>
    <t>Long-Term Investments</t>
  </si>
  <si>
    <t>Intangible Assets</t>
  </si>
  <si>
    <t>Deferred Tax Assets</t>
  </si>
  <si>
    <t>Other Assets</t>
  </si>
  <si>
    <t>Total Assets</t>
  </si>
  <si>
    <t>LIABILITIES</t>
  </si>
  <si>
    <t>ST Debt &amp; Current Portion LT Debt</t>
  </si>
  <si>
    <t>Accounts Payable</t>
  </si>
  <si>
    <t>Income Tax Payable</t>
  </si>
  <si>
    <t>Other Current Liabilities</t>
  </si>
  <si>
    <t>Long-Term Debt</t>
  </si>
  <si>
    <t>Deferred Tax Liabilities</t>
  </si>
  <si>
    <t>Other Liabilities</t>
  </si>
  <si>
    <t>Total Liabilities</t>
  </si>
  <si>
    <t>SHAREHOLDERS' EQUITY</t>
  </si>
  <si>
    <t>Common Stock / Par Value</t>
  </si>
  <si>
    <t>Additional Paid-In Capital</t>
  </si>
  <si>
    <t>Retained Earnings</t>
  </si>
  <si>
    <t>Treasury Stock</t>
  </si>
  <si>
    <t>Other Equity Items (Net)</t>
  </si>
  <si>
    <t>Total 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</si>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</sst>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--&quot;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4" fillId="0" borderId="0" xfId="0" applyFont="1"/>
    <xf numFmtId="164" fontId="0" fillId="0" borderId="0" xfId="0" applyNumberFormat="1"/>
    <xf numFmtId="9" fontId="0" fillId="0" borderId="0" xfId="0" applyNumberFormat="1"/>
    <xf numFmtId="0" fontId="0" fillId="4" borderId="0" xfId="0" applyFill="1"/>
    <xf numFmtId="165" fontId="0" fillId="0" borderId="0" xfId="0" applyNumberFormat="1"/>
    <xf numFmtId="0" fontId="5" fillId="0" borderId="0" xfId="0" applyFont="1" applyAlignment="1">
      <alignment horizontal="right"/>
    </xf>
    <xf numFmtId="9" fontId="0" fillId="5" borderId="0" xfId="0" applyNumberFormat="1" applyFill="1"/>
    <xf numFmtId="1" fontId="0" fillId="0" borderId="0" xfId="0" applyNumberFormat="1"/>
    <xf numFmtId="10" fontId="0" fillId="0" borderId="0" xfId="0" applyNumberFormat="1"/>
    <xf numFmtId="0" fontId="5" fillId="0" borderId="0" xfId="0" applyFont="1"/>
    <xf numFmtId="164" fontId="0" fillId="2" borderId="0" xfId="0" applyNumberFormat="1" applyFill="1"/>
    <xf numFmtId="0" fontId="2" fillId="0" borderId="0" xfId="0" applyFont="1"/>
    <xf numFmtId="9" fontId="0" fillId="6" borderId="0" xfId="0" applyNumberFormat="1" applyFill="1"/>
    <xf numFmtId="164" fontId="2" fillId="0" borderId="0" xfId="0" applyNumberFormat="1" applyFont="1"/>
    <xf numFmtId="2" fontId="0" fillId="0" borderId="0" xfId="0" applyNumberFormat="1"/>
    <xf numFmtId="1" fontId="2" fillId="0" borderId="0" xfId="0" applyNumberFormat="1" applyFont="1"/>
    <xf numFmtId="0" fontId="0" fillId="0" borderId="2" xfId="0" applyBorder="1"/>
    <xf numFmtId="0" fontId="7" fillId="0" borderId="0" xfId="0" applyFont="1"/>
    <xf numFmtId="1" fontId="7" fillId="0" borderId="0" xfId="0" applyNumberFormat="1" applyFont="1"/>
    <xf numFmtId="0" fontId="8" fillId="0" borderId="0" xfId="0" applyFont="1"/>
    <xf numFmtId="3" fontId="8" fillId="0" borderId="0" xfId="0" applyNumberFormat="1" applyFont="1"/>
    <xf numFmtId="165" fontId="0" fillId="6" borderId="0" xfId="0" applyNumberFormat="1" applyFill="1"/>
    <xf numFmtId="1" fontId="0" fillId="6" borderId="0" xfId="0" applyNumberFormat="1" applyFill="1"/>
    <xf numFmtId="0" fontId="9" fillId="0" borderId="0" xfId="0" applyFont="1"/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2" fillId="2" borderId="0" xfId="0" applyFont="1" applyFill="1"/>
    <xf numFmtId="0" fontId="13" fillId="3" borderId="0" xfId="0" applyFont="1" applyFill="1"/>
    <xf numFmtId="2" fontId="7" fillId="0" borderId="0" xfId="0" applyNumberFormat="1" applyFont="1"/>
    <xf numFmtId="16" fontId="2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" fontId="2" fillId="0" borderId="0" xfId="0" applyNumberFormat="1" applyFont="1"/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ill="1"/>
    <xf numFmtId="0" fontId="6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7938</xdr:colOff>
      <xdr:row>5</xdr:row>
      <xdr:rowOff>55562</xdr:rowOff>
    </xdr:from>
    <xdr:to>
      <xdr:col>9</xdr:col>
      <xdr:colOff>603250</xdr:colOff>
      <xdr:row>11</xdr:row>
      <xdr:rowOff>134937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5F6EF4B-DAF2-B1C5-7B1A-6431CCA32315}"/>
            </a:ext>
          </a:extLst>
        </xdr:cNvPr>
        <xdr:cNvSpPr txBox="1"/>
      </xdr:nvSpPr>
      <xdr:spPr>
        <a:xfrm>
          <a:off x="7938" y="1206500"/>
          <a:ext cx="7413625" cy="1174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This DCF model estimates the intrinsic value of </a:t>
          </a:r>
          <a:r>
            <a:rPr lang="en-US" sz="1400" b="1"/>
            <a:t>McDonald's</a:t>
          </a:r>
          <a:r>
            <a:rPr lang="en-US" sz="1400"/>
            <a:t> by forecasting future free cash flows and discounting them to present value using the WACC. A terminal value is calculated using the perpetual growth method, and the resulting enterprise value is adjusted for net debt to determine the company's equity value.</a:t>
          </a:r>
        </a:p>
        <a:p>
          <a:endParaRPr lang="en-US" sz="1100"/>
        </a:p>
      </xdr:txBody>
    </xdr:sp>
    <xdr:clientData/>
  </xdr:twoCellAnchor>
  <xdr:twoCellAnchor>
    <xdr:from>
      <xdr:col>3</xdr:col>
      <xdr:colOff>603250</xdr:colOff>
      <xdr:row>13</xdr:row>
      <xdr:rowOff>15875</xdr:rowOff>
    </xdr:from>
    <xdr:to>
      <xdr:col>19</xdr:col>
      <xdr:colOff>603250</xdr:colOff>
      <xdr:row>21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6A6B43-318C-BA11-1681-49B4297FBF3D}"/>
            </a:ext>
          </a:extLst>
        </xdr:cNvPr>
        <xdr:cNvSpPr txBox="1"/>
      </xdr:nvSpPr>
      <xdr:spPr>
        <a:xfrm>
          <a:off x="3222625" y="2682875"/>
          <a:ext cx="10112375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Base Case:</a:t>
          </a:r>
          <a:r>
            <a:rPr lang="en-US" sz="1400"/>
            <a:t> Assumes McDonald's continues to grow in line with historical trends, with stable revenue growth, margins, and operating performance.</a:t>
          </a:r>
        </a:p>
        <a:p>
          <a:r>
            <a:rPr lang="en-US" sz="1400" b="1"/>
            <a:t>Conservative Case:</a:t>
          </a:r>
          <a:r>
            <a:rPr lang="en-US" sz="1400"/>
            <a:t> Assumes slower revenue growth and modest margin pressure due to weaker economic conditions, increased competition, or higher operating costs.</a:t>
          </a:r>
        </a:p>
        <a:p>
          <a:r>
            <a:rPr lang="en-US" sz="1400" b="1"/>
            <a:t>Optimistic Case:</a:t>
          </a:r>
          <a:r>
            <a:rPr lang="en-US" sz="1400"/>
            <a:t> Assumes stronger revenue growth and improved profitability driven by successful expansion initiatives, higher customer demand, and operational efficiencies.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4994-88D3-40AB-BD79-19AC3E71AE2B}">
  <sheetPr>
    <tabColor theme="0"/>
  </sheetPr>
  <dimension ref="A1:V117"/>
  <sheetViews>
    <sheetView tabSelected="1" zoomScale="80" zoomScaleNormal="80" workbookViewId="0">
      <selection activeCell="M8" sqref="M8"/>
    </sheetView>
  </sheetViews>
  <sheetFormatPr defaultRowHeight="14.5" x14ac:dyDescent="0.35"/>
  <cols>
    <col min="1" max="1" width="20" bestFit="1" customWidth="1"/>
    <col min="6" max="6" width="16.36328125" bestFit="1" customWidth="1"/>
    <col min="12" max="12" width="6.54296875" bestFit="1" customWidth="1"/>
    <col min="13" max="13" width="8.1796875" bestFit="1" customWidth="1"/>
    <col min="18" max="18" width="8.6328125" bestFit="1" customWidth="1"/>
  </cols>
  <sheetData>
    <row r="1" spans="1:3" s="1" customFormat="1" x14ac:dyDescent="0.35"/>
    <row r="2" spans="1:3" s="1" customFormat="1" x14ac:dyDescent="0.35"/>
    <row r="3" spans="1:3" s="1" customFormat="1" ht="28.5" x14ac:dyDescent="0.65">
      <c r="A3" s="47" t="s">
        <v>95</v>
      </c>
      <c r="B3" s="47"/>
      <c r="C3" s="47"/>
    </row>
    <row r="5" spans="1:3" s="3" customFormat="1" ht="18.5" x14ac:dyDescent="0.45">
      <c r="A5" s="33" t="s">
        <v>96</v>
      </c>
    </row>
    <row r="13" spans="1:3" s="2" customFormat="1" ht="18.5" x14ac:dyDescent="0.45">
      <c r="A13" s="33" t="s">
        <v>25</v>
      </c>
    </row>
    <row r="15" spans="1:3" ht="15.5" x14ac:dyDescent="0.35">
      <c r="A15" s="23" t="s">
        <v>44</v>
      </c>
      <c r="B15" s="34">
        <v>1</v>
      </c>
    </row>
    <row r="16" spans="1:3" ht="15.5" x14ac:dyDescent="0.35">
      <c r="A16" s="25"/>
      <c r="B16" s="25"/>
    </row>
    <row r="17" spans="1:18" ht="15.5" x14ac:dyDescent="0.35">
      <c r="A17" s="25" t="s">
        <v>45</v>
      </c>
      <c r="B17" s="25">
        <v>1</v>
      </c>
    </row>
    <row r="18" spans="1:18" ht="15.5" x14ac:dyDescent="0.35">
      <c r="A18" s="25" t="s">
        <v>46</v>
      </c>
      <c r="B18" s="25">
        <v>2</v>
      </c>
    </row>
    <row r="19" spans="1:18" ht="15.5" x14ac:dyDescent="0.35">
      <c r="A19" s="25" t="s">
        <v>47</v>
      </c>
      <c r="B19" s="25">
        <v>3</v>
      </c>
    </row>
    <row r="22" spans="1:18" s="4" customFormat="1" ht="18.5" x14ac:dyDescent="0.45">
      <c r="A22" s="33" t="s">
        <v>26</v>
      </c>
    </row>
    <row r="25" spans="1:18" x14ac:dyDescent="0.35">
      <c r="A25" s="5"/>
      <c r="B25" s="5"/>
      <c r="C25" s="5"/>
      <c r="D25" s="5"/>
      <c r="E25" s="5"/>
      <c r="F25" s="5"/>
      <c r="G25" s="5"/>
      <c r="H25" s="46" t="s">
        <v>27</v>
      </c>
      <c r="I25" s="46"/>
      <c r="J25" s="46"/>
      <c r="K25" s="46"/>
      <c r="L25" s="46"/>
      <c r="M25" s="45" t="s">
        <v>28</v>
      </c>
      <c r="N25" s="45"/>
      <c r="O25" s="45"/>
      <c r="P25" s="45"/>
      <c r="Q25" s="45"/>
      <c r="R25" s="45"/>
    </row>
    <row r="26" spans="1:18" x14ac:dyDescent="0.35">
      <c r="A26" s="5" t="s">
        <v>29</v>
      </c>
      <c r="B26" s="5"/>
      <c r="C26" s="5"/>
      <c r="D26" s="5"/>
      <c r="E26" s="5"/>
      <c r="F26" s="5"/>
      <c r="G26" s="5"/>
      <c r="H26" s="5">
        <v>2020</v>
      </c>
      <c r="I26" s="5">
        <f>H26+1</f>
        <v>2021</v>
      </c>
      <c r="J26" s="5">
        <f t="shared" ref="J26:L26" si="0">I26+1</f>
        <v>2022</v>
      </c>
      <c r="K26" s="5">
        <f t="shared" si="0"/>
        <v>2023</v>
      </c>
      <c r="L26" s="5">
        <f t="shared" si="0"/>
        <v>2024</v>
      </c>
      <c r="M26" s="9">
        <f>L26+1</f>
        <v>2025</v>
      </c>
      <c r="N26" s="9">
        <f t="shared" ref="N26:R26" si="1">M26+1</f>
        <v>2026</v>
      </c>
      <c r="O26" s="9">
        <f t="shared" si="1"/>
        <v>2027</v>
      </c>
      <c r="P26" s="9">
        <f t="shared" si="1"/>
        <v>2028</v>
      </c>
      <c r="Q26" s="9">
        <f t="shared" si="1"/>
        <v>2029</v>
      </c>
      <c r="R26" s="9">
        <f t="shared" si="1"/>
        <v>2030</v>
      </c>
    </row>
    <row r="27" spans="1:18" ht="15.5" x14ac:dyDescent="0.35">
      <c r="A27" s="25" t="s">
        <v>30</v>
      </c>
      <c r="D27" s="7"/>
      <c r="E27" s="7"/>
      <c r="F27" s="7"/>
      <c r="G27" s="7"/>
      <c r="H27" s="7">
        <f>IS!F2</f>
        <v>16849</v>
      </c>
      <c r="I27" s="7">
        <f>IS!G2</f>
        <v>19647</v>
      </c>
      <c r="J27" s="7">
        <f>IS!H2</f>
        <v>22058</v>
      </c>
      <c r="K27" s="7">
        <f>IS!I2</f>
        <v>23581</v>
      </c>
      <c r="L27" s="7">
        <f>IS!J2</f>
        <v>23962</v>
      </c>
      <c r="M27" s="7">
        <f>L27*(1+M28)</f>
        <v>24561.05</v>
      </c>
      <c r="N27" s="7">
        <f t="shared" ref="N27:R27" si="2">M27*(1+N28)</f>
        <v>25175.076249999998</v>
      </c>
      <c r="O27" s="7">
        <f t="shared" si="2"/>
        <v>25804.453156249994</v>
      </c>
      <c r="P27" s="7">
        <f t="shared" si="2"/>
        <v>26449.564485156243</v>
      </c>
      <c r="Q27" s="7">
        <f t="shared" si="2"/>
        <v>27110.803597285147</v>
      </c>
      <c r="R27" s="7">
        <f t="shared" si="2"/>
        <v>27788.573687217275</v>
      </c>
    </row>
    <row r="28" spans="1:18" ht="15.5" x14ac:dyDescent="0.35">
      <c r="A28" s="29" t="s">
        <v>31</v>
      </c>
      <c r="D28" s="7"/>
      <c r="E28" s="7"/>
      <c r="F28" s="7"/>
      <c r="G28" s="7"/>
      <c r="H28" s="7"/>
      <c r="I28" s="8">
        <f>I27/H27-1</f>
        <v>0.16606326784972403</v>
      </c>
      <c r="J28" s="8">
        <f t="shared" ref="J28:L28" si="3">J27/I27-1</f>
        <v>0.12271593627525834</v>
      </c>
      <c r="K28" s="8">
        <f t="shared" si="3"/>
        <v>6.9045244355789182E-2</v>
      </c>
      <c r="L28" s="8">
        <f t="shared" si="3"/>
        <v>1.6157075611721305E-2</v>
      </c>
      <c r="M28" s="12">
        <f>CHOOSE($B$15,M29,M30,M31)</f>
        <v>2.5000000000000001E-2</v>
      </c>
      <c r="N28" s="12">
        <f t="shared" ref="N28:R28" si="4">CHOOSE($B$15,N29,N30,N31)</f>
        <v>2.5000000000000001E-2</v>
      </c>
      <c r="O28" s="12">
        <f t="shared" si="4"/>
        <v>2.5000000000000001E-2</v>
      </c>
      <c r="P28" s="12">
        <f t="shared" si="4"/>
        <v>2.5000000000000001E-2</v>
      </c>
      <c r="Q28" s="12">
        <f t="shared" si="4"/>
        <v>2.5000000000000001E-2</v>
      </c>
      <c r="R28" s="12">
        <f t="shared" si="4"/>
        <v>2.5000000000000001E-2</v>
      </c>
    </row>
    <row r="29" spans="1:18" x14ac:dyDescent="0.35">
      <c r="A29" s="11" t="s">
        <v>45</v>
      </c>
      <c r="D29" s="7"/>
      <c r="E29" s="7"/>
      <c r="F29" s="7"/>
      <c r="G29" s="7"/>
      <c r="H29" s="7"/>
      <c r="I29" s="8"/>
      <c r="J29" s="8"/>
      <c r="K29" s="8"/>
      <c r="L29" s="8"/>
      <c r="M29" s="27">
        <v>2.5000000000000001E-2</v>
      </c>
      <c r="N29" s="27">
        <v>2.5000000000000001E-2</v>
      </c>
      <c r="O29" s="27">
        <v>2.5000000000000001E-2</v>
      </c>
      <c r="P29" s="27">
        <v>2.5000000000000001E-2</v>
      </c>
      <c r="Q29" s="27">
        <v>2.5000000000000001E-2</v>
      </c>
      <c r="R29" s="27">
        <v>2.5000000000000001E-2</v>
      </c>
    </row>
    <row r="30" spans="1:18" x14ac:dyDescent="0.35">
      <c r="A30" s="11" t="s">
        <v>46</v>
      </c>
      <c r="D30" s="7"/>
      <c r="E30" s="7"/>
      <c r="F30" s="7"/>
      <c r="G30" s="7"/>
      <c r="H30" s="7"/>
      <c r="I30" s="8"/>
      <c r="J30" s="8"/>
      <c r="K30" s="8"/>
      <c r="L30" s="8"/>
      <c r="M30" s="18">
        <v>0.02</v>
      </c>
      <c r="N30" s="18">
        <v>0.02</v>
      </c>
      <c r="O30" s="18">
        <v>0.02</v>
      </c>
      <c r="P30" s="18">
        <v>0.02</v>
      </c>
      <c r="Q30" s="18">
        <v>0.02</v>
      </c>
      <c r="R30" s="18">
        <v>0.02</v>
      </c>
    </row>
    <row r="31" spans="1:18" x14ac:dyDescent="0.35">
      <c r="A31" s="11" t="s">
        <v>47</v>
      </c>
      <c r="D31" s="7"/>
      <c r="E31" s="7"/>
      <c r="F31" s="7"/>
      <c r="G31" s="7"/>
      <c r="H31" s="7"/>
      <c r="I31" s="8"/>
      <c r="J31" s="8"/>
      <c r="K31" s="8"/>
      <c r="L31" s="8"/>
      <c r="M31" s="27">
        <v>3.9E-2</v>
      </c>
      <c r="N31" s="27">
        <v>3.9E-2</v>
      </c>
      <c r="O31" s="27">
        <v>3.9E-2</v>
      </c>
      <c r="P31" s="27">
        <v>3.9E-2</v>
      </c>
      <c r="Q31" s="27">
        <v>3.9E-2</v>
      </c>
      <c r="R31" s="27">
        <v>3.9E-2</v>
      </c>
    </row>
    <row r="32" spans="1:18" x14ac:dyDescent="0.35"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5.5" x14ac:dyDescent="0.35">
      <c r="A33" s="25" t="s">
        <v>32</v>
      </c>
      <c r="D33" s="7"/>
      <c r="E33" s="7"/>
      <c r="F33" s="7"/>
      <c r="G33" s="7"/>
      <c r="H33" s="7">
        <f>IS!F4</f>
        <v>6788</v>
      </c>
      <c r="I33" s="7">
        <f>IS!G4</f>
        <v>7482</v>
      </c>
      <c r="J33" s="7">
        <f>IS!H4</f>
        <v>7831</v>
      </c>
      <c r="K33" s="7">
        <f>IS!I4</f>
        <v>8419</v>
      </c>
      <c r="L33" s="7">
        <f>IS!J4</f>
        <v>8525</v>
      </c>
      <c r="M33" s="7">
        <f>M27-M35</f>
        <v>8516.6040500000017</v>
      </c>
      <c r="N33" s="7">
        <f t="shared" ref="N33:R33" si="5">N27-N35</f>
        <v>8499.281351867503</v>
      </c>
      <c r="O33" s="7">
        <f t="shared" si="5"/>
        <v>8472.4657288759845</v>
      </c>
      <c r="P33" s="7">
        <f t="shared" si="5"/>
        <v>8435.5633525150697</v>
      </c>
      <c r="Q33" s="7">
        <f t="shared" si="5"/>
        <v>8387.9515200745445</v>
      </c>
      <c r="R33" s="7">
        <f t="shared" si="5"/>
        <v>8328.9773807684323</v>
      </c>
    </row>
    <row r="34" spans="1:18" x14ac:dyDescent="0.35"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5.5" x14ac:dyDescent="0.35">
      <c r="A35" s="25" t="s">
        <v>33</v>
      </c>
      <c r="D35" s="7"/>
      <c r="E35" s="7"/>
      <c r="F35" s="7"/>
      <c r="G35" s="7"/>
      <c r="H35" s="7">
        <f>H27-H33</f>
        <v>10061</v>
      </c>
      <c r="I35" s="7">
        <f>I27-I33</f>
        <v>12165</v>
      </c>
      <c r="J35" s="7">
        <f>J27-J33</f>
        <v>14227</v>
      </c>
      <c r="K35" s="7">
        <f>K27-K33</f>
        <v>15162</v>
      </c>
      <c r="L35" s="7">
        <f>L27-L33</f>
        <v>15437</v>
      </c>
      <c r="M35" s="7">
        <f>M27*M36</f>
        <v>16044.445949999998</v>
      </c>
      <c r="N35" s="7">
        <f t="shared" ref="N35:R35" si="6">N27*N36</f>
        <v>16675.794898132495</v>
      </c>
      <c r="O35" s="7">
        <f t="shared" si="6"/>
        <v>17331.98742737401</v>
      </c>
      <c r="P35" s="7">
        <f t="shared" si="6"/>
        <v>18014.001132641173</v>
      </c>
      <c r="Q35" s="7">
        <f t="shared" si="6"/>
        <v>18722.852077210602</v>
      </c>
      <c r="R35" s="7">
        <f t="shared" si="6"/>
        <v>19459.596306448842</v>
      </c>
    </row>
    <row r="36" spans="1:18" ht="15.5" x14ac:dyDescent="0.35">
      <c r="A36" s="29" t="s">
        <v>34</v>
      </c>
      <c r="D36" s="7"/>
      <c r="E36" s="7"/>
      <c r="F36" s="7"/>
      <c r="G36" s="7"/>
      <c r="H36" s="8">
        <f>H35/H27</f>
        <v>0.59712742595999757</v>
      </c>
      <c r="I36" s="8">
        <f t="shared" ref="I36:L36" si="7">I35/I27</f>
        <v>0.61917850053443269</v>
      </c>
      <c r="J36" s="8">
        <f t="shared" si="7"/>
        <v>0.64498141263940523</v>
      </c>
      <c r="K36" s="8">
        <f t="shared" si="7"/>
        <v>0.64297527670582244</v>
      </c>
      <c r="L36" s="8">
        <f t="shared" si="7"/>
        <v>0.64422836157248975</v>
      </c>
      <c r="M36" s="8">
        <f>L36*(1+M37)</f>
        <v>0.65324755863450457</v>
      </c>
      <c r="N36" s="8">
        <f t="shared" ref="N36:R36" si="8">M36*(1+N37)</f>
        <v>0.66239302445538761</v>
      </c>
      <c r="O36" s="8">
        <f t="shared" si="8"/>
        <v>0.67166652679776306</v>
      </c>
      <c r="P36" s="8">
        <f t="shared" si="8"/>
        <v>0.68106985817293175</v>
      </c>
      <c r="Q36" s="8">
        <f t="shared" si="8"/>
        <v>0.6906048361873528</v>
      </c>
      <c r="R36" s="8">
        <f t="shared" si="8"/>
        <v>0.7002733038939758</v>
      </c>
    </row>
    <row r="37" spans="1:18" x14ac:dyDescent="0.35">
      <c r="A37" s="6"/>
      <c r="D37" s="7"/>
      <c r="E37" s="7"/>
      <c r="F37" s="7"/>
      <c r="G37" s="7"/>
      <c r="H37" s="8"/>
      <c r="I37" s="8"/>
      <c r="J37" s="8"/>
      <c r="K37" s="8"/>
      <c r="L37" s="8"/>
      <c r="M37" s="12">
        <f>CHOOSE($B$15,M38,M39,M40)</f>
        <v>1.4E-2</v>
      </c>
      <c r="N37" s="12">
        <f t="shared" ref="N37:R37" si="9">CHOOSE($B$15,N38,N39,N40)</f>
        <v>1.4E-2</v>
      </c>
      <c r="O37" s="12">
        <f t="shared" si="9"/>
        <v>1.4E-2</v>
      </c>
      <c r="P37" s="12">
        <f t="shared" si="9"/>
        <v>1.4E-2</v>
      </c>
      <c r="Q37" s="12">
        <f t="shared" si="9"/>
        <v>1.4E-2</v>
      </c>
      <c r="R37" s="12">
        <f t="shared" si="9"/>
        <v>1.4E-2</v>
      </c>
    </row>
    <row r="38" spans="1:18" x14ac:dyDescent="0.35">
      <c r="A38" s="11" t="s">
        <v>45</v>
      </c>
      <c r="D38" s="7"/>
      <c r="E38" s="7"/>
      <c r="F38" s="7"/>
      <c r="G38" s="7"/>
      <c r="H38" s="7"/>
      <c r="I38" s="8"/>
      <c r="J38" s="8"/>
      <c r="K38" s="8"/>
      <c r="L38" s="8"/>
      <c r="M38" s="27">
        <v>1.4E-2</v>
      </c>
      <c r="N38" s="27">
        <v>1.4E-2</v>
      </c>
      <c r="O38" s="27">
        <v>1.4E-2</v>
      </c>
      <c r="P38" s="27">
        <v>1.4E-2</v>
      </c>
      <c r="Q38" s="27">
        <v>1.4E-2</v>
      </c>
      <c r="R38" s="27">
        <v>1.4E-2</v>
      </c>
    </row>
    <row r="39" spans="1:18" x14ac:dyDescent="0.35">
      <c r="A39" s="11" t="s">
        <v>46</v>
      </c>
      <c r="D39" s="7"/>
      <c r="E39" s="7"/>
      <c r="F39" s="7"/>
      <c r="G39" s="7"/>
      <c r="H39" s="7"/>
      <c r="I39" s="8"/>
      <c r="J39" s="8"/>
      <c r="K39" s="8"/>
      <c r="L39" s="8"/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</row>
    <row r="40" spans="1:18" x14ac:dyDescent="0.35">
      <c r="A40" s="11" t="s">
        <v>47</v>
      </c>
      <c r="D40" s="7"/>
      <c r="E40" s="7"/>
      <c r="F40" s="7"/>
      <c r="G40" s="7"/>
      <c r="H40" s="7"/>
      <c r="I40" s="8"/>
      <c r="J40" s="8"/>
      <c r="K40" s="8"/>
      <c r="L40" s="8"/>
      <c r="M40" s="27">
        <v>0.03</v>
      </c>
      <c r="N40" s="27">
        <v>0.03</v>
      </c>
      <c r="O40" s="27">
        <v>0.03</v>
      </c>
      <c r="P40" s="27">
        <v>0.03</v>
      </c>
      <c r="Q40" s="27">
        <v>0.03</v>
      </c>
      <c r="R40" s="27">
        <v>0.03</v>
      </c>
    </row>
    <row r="41" spans="1:18" x14ac:dyDescent="0.35">
      <c r="A41" s="11"/>
      <c r="D41" s="7"/>
      <c r="E41" s="7"/>
      <c r="F41" s="7"/>
      <c r="G41" s="7"/>
      <c r="H41" s="7"/>
      <c r="I41" s="8"/>
      <c r="J41" s="8"/>
      <c r="K41" s="8"/>
      <c r="L41" s="8"/>
      <c r="M41" s="10"/>
      <c r="N41" s="10"/>
      <c r="O41" s="10"/>
      <c r="P41" s="10"/>
      <c r="Q41" s="10"/>
      <c r="R41" s="10"/>
    </row>
    <row r="42" spans="1:18" ht="15.5" x14ac:dyDescent="0.35">
      <c r="A42" s="30" t="s">
        <v>48</v>
      </c>
      <c r="D42" s="7"/>
      <c r="E42" s="7"/>
      <c r="F42" s="7"/>
      <c r="G42" s="7"/>
      <c r="H42" s="7">
        <f>IS!F9</f>
        <v>2243</v>
      </c>
      <c r="I42" s="7">
        <f>IS!G9</f>
        <v>2316</v>
      </c>
      <c r="J42" s="7">
        <f>IS!H9</f>
        <v>2595</v>
      </c>
      <c r="K42" s="7">
        <f>IS!I9</f>
        <v>2492</v>
      </c>
      <c r="L42" s="7">
        <f>IS!J9</f>
        <v>2535</v>
      </c>
      <c r="M42" s="13">
        <f>M35-M44</f>
        <v>2535.8684499999963</v>
      </c>
      <c r="N42" s="13">
        <f t="shared" ref="N42:R42" si="10">N35-N44</f>
        <v>2829.5029606324952</v>
      </c>
      <c r="O42" s="13">
        <f t="shared" si="10"/>
        <v>2881.4936598740114</v>
      </c>
      <c r="P42" s="13">
        <f t="shared" si="10"/>
        <v>3202.2450209536764</v>
      </c>
      <c r="Q42" s="13">
        <f t="shared" si="10"/>
        <v>2998.5859907852173</v>
      </c>
      <c r="R42" s="13">
        <f t="shared" si="10"/>
        <v>3342.223567862824</v>
      </c>
    </row>
    <row r="43" spans="1:18" x14ac:dyDescent="0.35">
      <c r="A43" s="11"/>
      <c r="D43" s="7"/>
      <c r="E43" s="7"/>
      <c r="F43" s="7"/>
      <c r="G43" s="7"/>
      <c r="H43" s="7"/>
      <c r="I43" s="8"/>
      <c r="J43" s="8"/>
      <c r="K43" s="8"/>
      <c r="L43" s="8"/>
      <c r="M43" s="10"/>
      <c r="N43" s="10"/>
      <c r="O43" s="10"/>
      <c r="P43" s="10"/>
      <c r="Q43" s="10"/>
      <c r="R43" s="10"/>
    </row>
    <row r="44" spans="1:18" ht="15.5" x14ac:dyDescent="0.35">
      <c r="A44" s="25" t="s">
        <v>35</v>
      </c>
      <c r="D44" s="7"/>
      <c r="E44" s="7"/>
      <c r="F44" s="7"/>
      <c r="G44" s="7"/>
      <c r="H44" s="7">
        <f>H35-H42</f>
        <v>7818</v>
      </c>
      <c r="I44" s="7">
        <f t="shared" ref="I44:L44" si="11">I35-I42</f>
        <v>9849</v>
      </c>
      <c r="J44" s="7">
        <f t="shared" si="11"/>
        <v>11632</v>
      </c>
      <c r="K44" s="7">
        <f t="shared" si="11"/>
        <v>12670</v>
      </c>
      <c r="L44" s="7">
        <f t="shared" si="11"/>
        <v>12902</v>
      </c>
      <c r="M44" s="7">
        <f>M27*M45</f>
        <v>13508.577500000001</v>
      </c>
      <c r="N44" s="7">
        <f t="shared" ref="N44:R44" si="12">N27*N45</f>
        <v>13846.2919375</v>
      </c>
      <c r="O44" s="7">
        <f t="shared" si="12"/>
        <v>14450.493767499998</v>
      </c>
      <c r="P44" s="7">
        <f t="shared" si="12"/>
        <v>14811.756111687497</v>
      </c>
      <c r="Q44" s="7">
        <f t="shared" si="12"/>
        <v>15724.266086425385</v>
      </c>
      <c r="R44" s="7">
        <f t="shared" si="12"/>
        <v>16117.372738586018</v>
      </c>
    </row>
    <row r="45" spans="1:18" ht="15.5" x14ac:dyDescent="0.35">
      <c r="A45" s="29" t="s">
        <v>34</v>
      </c>
      <c r="D45" s="7"/>
      <c r="E45" s="7"/>
      <c r="F45" s="7"/>
      <c r="G45" s="7"/>
      <c r="H45" s="8">
        <f>H44/H27</f>
        <v>0.46400379844501155</v>
      </c>
      <c r="I45" s="8">
        <f>I44/I27</f>
        <v>0.50129790807756913</v>
      </c>
      <c r="J45" s="8">
        <f>J44/J27</f>
        <v>0.52733702058210175</v>
      </c>
      <c r="K45" s="8">
        <f>K44/K27</f>
        <v>0.53729697637928842</v>
      </c>
      <c r="L45" s="8">
        <f>L44/L27</f>
        <v>0.53843585677322425</v>
      </c>
      <c r="M45" s="8">
        <f>CHOOSE($B$15,M46,M47,M48)</f>
        <v>0.55000000000000004</v>
      </c>
      <c r="N45" s="8">
        <f t="shared" ref="N45:R45" si="13">CHOOSE($B$15,N46,N47,N48)</f>
        <v>0.55000000000000004</v>
      </c>
      <c r="O45" s="8">
        <f t="shared" si="13"/>
        <v>0.56000000000000005</v>
      </c>
      <c r="P45" s="8">
        <f t="shared" si="13"/>
        <v>0.56000000000000005</v>
      </c>
      <c r="Q45" s="8">
        <f t="shared" si="13"/>
        <v>0.57999999999999996</v>
      </c>
      <c r="R45" s="8">
        <f t="shared" si="13"/>
        <v>0.57999999999999996</v>
      </c>
    </row>
    <row r="46" spans="1:18" x14ac:dyDescent="0.35">
      <c r="A46" s="11" t="s">
        <v>45</v>
      </c>
      <c r="D46" s="7"/>
      <c r="E46" s="7"/>
      <c r="F46" s="7"/>
      <c r="G46" s="7"/>
      <c r="H46" s="7"/>
      <c r="I46" s="8"/>
      <c r="J46" s="8"/>
      <c r="K46" s="8"/>
      <c r="L46" s="8"/>
      <c r="M46" s="18">
        <v>0.55000000000000004</v>
      </c>
      <c r="N46" s="18">
        <v>0.55000000000000004</v>
      </c>
      <c r="O46" s="18">
        <v>0.56000000000000005</v>
      </c>
      <c r="P46" s="18">
        <v>0.56000000000000005</v>
      </c>
      <c r="Q46" s="18">
        <v>0.57999999999999996</v>
      </c>
      <c r="R46" s="18">
        <v>0.57999999999999996</v>
      </c>
    </row>
    <row r="47" spans="1:18" x14ac:dyDescent="0.35">
      <c r="A47" s="11" t="s">
        <v>46</v>
      </c>
      <c r="D47" s="7"/>
      <c r="E47" s="7"/>
      <c r="F47" s="7"/>
      <c r="G47" s="7"/>
      <c r="H47" s="7"/>
      <c r="I47" s="8"/>
      <c r="J47" s="8"/>
      <c r="K47" s="8"/>
      <c r="L47" s="8"/>
      <c r="M47" s="18">
        <v>0.52</v>
      </c>
      <c r="N47" s="18">
        <v>0.52</v>
      </c>
      <c r="O47" s="18">
        <v>0.51</v>
      </c>
      <c r="P47" s="18">
        <v>0.51</v>
      </c>
      <c r="Q47" s="18">
        <v>0.5</v>
      </c>
      <c r="R47" s="18">
        <v>0.5</v>
      </c>
    </row>
    <row r="48" spans="1:18" x14ac:dyDescent="0.35">
      <c r="A48" s="11" t="s">
        <v>47</v>
      </c>
      <c r="D48" s="7"/>
      <c r="E48" s="7"/>
      <c r="F48" s="7"/>
      <c r="G48" s="7"/>
      <c r="H48" s="7"/>
      <c r="I48" s="8"/>
      <c r="J48" s="8"/>
      <c r="K48" s="8"/>
      <c r="L48" s="8"/>
      <c r="M48" s="18">
        <v>0.55000000000000004</v>
      </c>
      <c r="N48" s="18">
        <v>0.56000000000000005</v>
      </c>
      <c r="O48" s="18">
        <v>0.56999999999999995</v>
      </c>
      <c r="P48" s="18">
        <v>0.59</v>
      </c>
      <c r="Q48" s="18">
        <v>0.6</v>
      </c>
      <c r="R48" s="18">
        <v>0.61</v>
      </c>
    </row>
    <row r="49" spans="1:18" x14ac:dyDescent="0.35">
      <c r="A49" s="11"/>
      <c r="D49" s="7"/>
      <c r="E49" s="7"/>
      <c r="F49" s="7"/>
      <c r="G49" s="7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15.5" x14ac:dyDescent="0.35">
      <c r="A50" s="30" t="s">
        <v>36</v>
      </c>
      <c r="D50" s="7"/>
      <c r="E50" s="7"/>
      <c r="F50" s="7"/>
      <c r="G50" s="7"/>
      <c r="H50" s="7">
        <f>IS!F5</f>
        <v>1536</v>
      </c>
      <c r="I50" s="7">
        <f>IS!G5</f>
        <v>1580</v>
      </c>
      <c r="J50" s="7">
        <f>IS!H5</f>
        <v>1780</v>
      </c>
      <c r="K50" s="7">
        <f>IS!I5</f>
        <v>1830</v>
      </c>
      <c r="L50" s="7">
        <f>IS!J5</f>
        <v>1939</v>
      </c>
      <c r="M50" s="13">
        <f>M27*M51</f>
        <v>1964.884</v>
      </c>
      <c r="N50" s="13">
        <f t="shared" ref="N50:R50" si="14">N27*N51</f>
        <v>2014.0060999999998</v>
      </c>
      <c r="O50" s="13">
        <f t="shared" si="14"/>
        <v>2064.3562524999998</v>
      </c>
      <c r="P50" s="13">
        <f t="shared" si="14"/>
        <v>2115.9651588124993</v>
      </c>
      <c r="Q50" s="13">
        <f t="shared" si="14"/>
        <v>2168.864287782812</v>
      </c>
      <c r="R50" s="13">
        <f t="shared" si="14"/>
        <v>2223.0858949773819</v>
      </c>
    </row>
    <row r="51" spans="1:18" ht="15.5" x14ac:dyDescent="0.35">
      <c r="A51" s="31" t="s">
        <v>39</v>
      </c>
      <c r="D51" s="7"/>
      <c r="E51" s="7"/>
      <c r="F51" s="7"/>
      <c r="G51" s="7"/>
      <c r="H51" s="8">
        <f>H50/H27</f>
        <v>9.1162680277761296E-2</v>
      </c>
      <c r="I51" s="8">
        <f t="shared" ref="I51:L51" si="15">I50/I27</f>
        <v>8.0419402453300759E-2</v>
      </c>
      <c r="J51" s="8">
        <f t="shared" si="15"/>
        <v>8.0696345996917218E-2</v>
      </c>
      <c r="K51" s="8">
        <f t="shared" si="15"/>
        <v>7.7604851363385782E-2</v>
      </c>
      <c r="L51" s="8">
        <f t="shared" si="15"/>
        <v>8.0919789666972705E-2</v>
      </c>
      <c r="M51" s="8">
        <f>CHOOSE($B$15,M52,M53,M54)</f>
        <v>0.08</v>
      </c>
      <c r="N51" s="8">
        <f t="shared" ref="N51:R51" si="16">CHOOSE($B$15,N52,N53,N54)</f>
        <v>0.08</v>
      </c>
      <c r="O51" s="8">
        <f t="shared" si="16"/>
        <v>0.08</v>
      </c>
      <c r="P51" s="8">
        <f t="shared" si="16"/>
        <v>0.08</v>
      </c>
      <c r="Q51" s="8">
        <f t="shared" si="16"/>
        <v>0.08</v>
      </c>
      <c r="R51" s="8">
        <f t="shared" si="16"/>
        <v>0.08</v>
      </c>
    </row>
    <row r="52" spans="1:18" x14ac:dyDescent="0.35">
      <c r="A52" s="11" t="s">
        <v>45</v>
      </c>
      <c r="D52" s="7"/>
      <c r="E52" s="7"/>
      <c r="F52" s="7"/>
      <c r="G52" s="7"/>
      <c r="H52" s="7"/>
      <c r="I52" s="8"/>
      <c r="J52" s="8"/>
      <c r="K52" s="8"/>
      <c r="L52" s="8"/>
      <c r="M52" s="18">
        <v>0.08</v>
      </c>
      <c r="N52" s="18">
        <v>0.08</v>
      </c>
      <c r="O52" s="18">
        <v>0.08</v>
      </c>
      <c r="P52" s="18">
        <v>0.08</v>
      </c>
      <c r="Q52" s="18">
        <v>0.08</v>
      </c>
      <c r="R52" s="18">
        <v>0.08</v>
      </c>
    </row>
    <row r="53" spans="1:18" x14ac:dyDescent="0.35">
      <c r="A53" s="11" t="s">
        <v>46</v>
      </c>
      <c r="D53" s="7"/>
      <c r="E53" s="7"/>
      <c r="F53" s="7"/>
      <c r="G53" s="7"/>
      <c r="H53" s="7"/>
      <c r="I53" s="8"/>
      <c r="J53" s="8"/>
      <c r="K53" s="8"/>
      <c r="L53" s="8"/>
      <c r="M53" s="18">
        <v>7.0000000000000007E-2</v>
      </c>
      <c r="N53" s="18">
        <v>7.0000000000000007E-2</v>
      </c>
      <c r="O53" s="18">
        <v>7.0000000000000007E-2</v>
      </c>
      <c r="P53" s="18">
        <v>7.0000000000000007E-2</v>
      </c>
      <c r="Q53" s="18">
        <v>7.0000000000000007E-2</v>
      </c>
      <c r="R53" s="18">
        <v>7.0000000000000007E-2</v>
      </c>
    </row>
    <row r="54" spans="1:18" x14ac:dyDescent="0.35">
      <c r="A54" s="11" t="s">
        <v>47</v>
      </c>
      <c r="D54" s="7"/>
      <c r="E54" s="7"/>
      <c r="F54" s="7"/>
      <c r="G54" s="7"/>
      <c r="H54" s="7"/>
      <c r="I54" s="8"/>
      <c r="J54" s="8"/>
      <c r="K54" s="8"/>
      <c r="L54" s="8"/>
      <c r="M54" s="18">
        <v>0.09</v>
      </c>
      <c r="N54" s="18">
        <v>0.09</v>
      </c>
      <c r="O54" s="18">
        <v>0.09</v>
      </c>
      <c r="P54" s="18">
        <v>0.09</v>
      </c>
      <c r="Q54" s="18">
        <v>0.09</v>
      </c>
      <c r="R54" s="18">
        <v>0.09</v>
      </c>
    </row>
    <row r="55" spans="1:18" x14ac:dyDescent="0.35">
      <c r="A55" s="11"/>
      <c r="D55" s="7"/>
      <c r="E55" s="7"/>
      <c r="F55" s="7"/>
      <c r="G55" s="7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ht="15.5" x14ac:dyDescent="0.35">
      <c r="A56" s="25" t="s">
        <v>37</v>
      </c>
      <c r="D56" s="7"/>
      <c r="E56" s="7"/>
      <c r="F56" s="7"/>
      <c r="G56" s="7"/>
      <c r="H56" s="7">
        <f>H44-H50</f>
        <v>6282</v>
      </c>
      <c r="I56" s="7">
        <f t="shared" ref="I56:R56" si="17">I44-I50</f>
        <v>8269</v>
      </c>
      <c r="J56" s="7">
        <f t="shared" si="17"/>
        <v>9852</v>
      </c>
      <c r="K56" s="7">
        <f t="shared" si="17"/>
        <v>10840</v>
      </c>
      <c r="L56" s="7">
        <f t="shared" si="17"/>
        <v>10963</v>
      </c>
      <c r="M56" s="7">
        <f t="shared" si="17"/>
        <v>11543.693500000001</v>
      </c>
      <c r="N56" s="7">
        <f t="shared" si="17"/>
        <v>11832.2858375</v>
      </c>
      <c r="O56" s="7">
        <f t="shared" si="17"/>
        <v>12386.137514999999</v>
      </c>
      <c r="P56" s="7">
        <f t="shared" si="17"/>
        <v>12695.790952874997</v>
      </c>
      <c r="Q56" s="7">
        <f t="shared" si="17"/>
        <v>13555.401798642573</v>
      </c>
      <c r="R56" s="7">
        <f t="shared" si="17"/>
        <v>13894.286843608636</v>
      </c>
    </row>
    <row r="57" spans="1:18" ht="15.5" x14ac:dyDescent="0.35">
      <c r="A57" s="29" t="s">
        <v>34</v>
      </c>
      <c r="D57" s="7"/>
      <c r="E57" s="7"/>
      <c r="F57" s="7"/>
      <c r="G57" s="7"/>
      <c r="H57" s="8">
        <f t="shared" ref="H57:M57" si="18">H56/H27</f>
        <v>0.3728411181672503</v>
      </c>
      <c r="I57" s="8">
        <f t="shared" si="18"/>
        <v>0.42087850562426832</v>
      </c>
      <c r="J57" s="8">
        <f t="shared" si="18"/>
        <v>0.44664067458518453</v>
      </c>
      <c r="K57" s="8">
        <f t="shared" si="18"/>
        <v>0.45969212501590262</v>
      </c>
      <c r="L57" s="8">
        <f t="shared" si="18"/>
        <v>0.45751606710625159</v>
      </c>
      <c r="M57" s="18">
        <f t="shared" si="18"/>
        <v>0.47000000000000008</v>
      </c>
      <c r="N57" s="18">
        <f t="shared" ref="N57:R57" si="19">N56/N27</f>
        <v>0.47000000000000003</v>
      </c>
      <c r="O57" s="18">
        <f t="shared" si="19"/>
        <v>0.48000000000000004</v>
      </c>
      <c r="P57" s="18">
        <f t="shared" si="19"/>
        <v>0.48000000000000004</v>
      </c>
      <c r="Q57" s="18">
        <f t="shared" si="19"/>
        <v>0.5</v>
      </c>
      <c r="R57" s="18">
        <f t="shared" si="19"/>
        <v>0.49999999999999994</v>
      </c>
    </row>
    <row r="58" spans="1:18" x14ac:dyDescent="0.35">
      <c r="A58" s="6"/>
      <c r="D58" s="7"/>
      <c r="E58" s="7"/>
      <c r="F58" s="7"/>
      <c r="G58" s="7"/>
      <c r="H58" s="8"/>
      <c r="I58" s="8"/>
      <c r="J58" s="8"/>
      <c r="K58" s="8"/>
      <c r="L58" s="8"/>
      <c r="M58" s="8"/>
      <c r="N58" s="7"/>
      <c r="O58" s="7"/>
      <c r="P58" s="7"/>
      <c r="Q58" s="7"/>
      <c r="R58" s="7"/>
    </row>
    <row r="59" spans="1:18" ht="15.5" x14ac:dyDescent="0.35">
      <c r="A59" s="29" t="s">
        <v>40</v>
      </c>
      <c r="D59" s="7"/>
      <c r="E59" s="7"/>
      <c r="F59" s="7"/>
      <c r="G59" s="7"/>
      <c r="H59">
        <f>IS!F16</f>
        <v>1075</v>
      </c>
      <c r="I59">
        <f>IS!G16</f>
        <v>1010</v>
      </c>
      <c r="J59">
        <f>IS!H16</f>
        <v>1236</v>
      </c>
      <c r="K59">
        <f>IS!I16</f>
        <v>1297</v>
      </c>
      <c r="L59">
        <f>IS!J16</f>
        <v>1435</v>
      </c>
      <c r="M59" s="13">
        <f>M27*M60</f>
        <v>1470.875</v>
      </c>
      <c r="N59" s="13">
        <f t="shared" ref="N59:R59" si="20">N27*N60</f>
        <v>1507.6468749999999</v>
      </c>
      <c r="O59" s="13">
        <f t="shared" si="20"/>
        <v>1545.3380468749997</v>
      </c>
      <c r="P59" s="13">
        <f t="shared" si="20"/>
        <v>1583.9714980468746</v>
      </c>
      <c r="Q59" s="13">
        <f t="shared" si="20"/>
        <v>1623.5707854980462</v>
      </c>
      <c r="R59" s="13">
        <f t="shared" si="20"/>
        <v>1664.1600551354973</v>
      </c>
    </row>
    <row r="60" spans="1:18" ht="15.5" x14ac:dyDescent="0.35">
      <c r="A60" s="32" t="s">
        <v>39</v>
      </c>
      <c r="D60" s="7"/>
      <c r="E60" s="7"/>
      <c r="F60" s="7"/>
      <c r="G60" s="7"/>
      <c r="H60" s="8">
        <f>H59/H27</f>
        <v>6.3802006053771732E-2</v>
      </c>
      <c r="I60" s="8">
        <f t="shared" ref="I60:L60" si="21">I59/I27</f>
        <v>5.1407339542932765E-2</v>
      </c>
      <c r="J60" s="8">
        <f t="shared" si="21"/>
        <v>5.6034091939432408E-2</v>
      </c>
      <c r="K60" s="8">
        <f t="shared" si="21"/>
        <v>5.5001908316017131E-2</v>
      </c>
      <c r="L60" s="8">
        <f t="shared" si="21"/>
        <v>5.9886486937651279E-2</v>
      </c>
      <c r="M60" s="18">
        <f>L60</f>
        <v>5.9886486937651279E-2</v>
      </c>
      <c r="N60" s="18">
        <f t="shared" ref="N60:R60" si="22">M60</f>
        <v>5.9886486937651279E-2</v>
      </c>
      <c r="O60" s="18">
        <f t="shared" si="22"/>
        <v>5.9886486937651279E-2</v>
      </c>
      <c r="P60" s="18">
        <f t="shared" si="22"/>
        <v>5.9886486937651279E-2</v>
      </c>
      <c r="Q60" s="18">
        <f t="shared" si="22"/>
        <v>5.9886486937651279E-2</v>
      </c>
      <c r="R60" s="18">
        <f t="shared" si="22"/>
        <v>5.9886486937651279E-2</v>
      </c>
    </row>
    <row r="61" spans="1:18" x14ac:dyDescent="0.35">
      <c r="A61" s="15"/>
      <c r="D61" s="7"/>
      <c r="E61" s="7"/>
      <c r="F61" s="7"/>
      <c r="G61" s="7"/>
      <c r="H61" s="8"/>
      <c r="I61" s="8"/>
      <c r="J61" s="8"/>
      <c r="K61" s="8"/>
      <c r="L61" s="8"/>
      <c r="M61" s="8"/>
      <c r="N61" s="7"/>
      <c r="O61" s="7"/>
      <c r="P61" s="7"/>
      <c r="Q61" s="7"/>
      <c r="R61" s="7"/>
    </row>
    <row r="62" spans="1:18" ht="15.5" x14ac:dyDescent="0.35">
      <c r="A62" s="29" t="s">
        <v>41</v>
      </c>
      <c r="D62" s="7"/>
      <c r="E62" s="7"/>
      <c r="F62" s="7"/>
      <c r="G62" s="7"/>
      <c r="H62">
        <f>H56-H59</f>
        <v>5207</v>
      </c>
      <c r="I62">
        <f t="shared" ref="I62:R62" si="23">I56-I59</f>
        <v>7259</v>
      </c>
      <c r="J62">
        <f t="shared" si="23"/>
        <v>8616</v>
      </c>
      <c r="K62">
        <f t="shared" si="23"/>
        <v>9543</v>
      </c>
      <c r="L62">
        <f t="shared" si="23"/>
        <v>9528</v>
      </c>
      <c r="M62">
        <f t="shared" si="23"/>
        <v>10072.818500000001</v>
      </c>
      <c r="N62" s="13">
        <f t="shared" si="23"/>
        <v>10324.638962499999</v>
      </c>
      <c r="O62" s="13">
        <f t="shared" si="23"/>
        <v>10840.799468124998</v>
      </c>
      <c r="P62" s="13">
        <f t="shared" si="23"/>
        <v>11111.819454828123</v>
      </c>
      <c r="Q62" s="13">
        <f t="shared" si="23"/>
        <v>11931.831013144527</v>
      </c>
      <c r="R62" s="13">
        <f t="shared" si="23"/>
        <v>12230.126788473139</v>
      </c>
    </row>
    <row r="63" spans="1:18" ht="15.5" x14ac:dyDescent="0.35">
      <c r="A63" s="29" t="s">
        <v>34</v>
      </c>
      <c r="D63" s="7"/>
      <c r="E63" s="7"/>
      <c r="F63" s="7"/>
      <c r="G63" s="7"/>
      <c r="H63" s="8">
        <f>H62/H27</f>
        <v>0.30903911211347856</v>
      </c>
      <c r="I63" s="8">
        <f>I62/I27</f>
        <v>0.36947116608133557</v>
      </c>
      <c r="J63" s="8">
        <f>J62/J27</f>
        <v>0.3906065826457521</v>
      </c>
      <c r="K63" s="8">
        <f>K62/K27</f>
        <v>0.40469021669988547</v>
      </c>
      <c r="L63" s="8">
        <f>L62/L27</f>
        <v>0.39762958016860028</v>
      </c>
      <c r="M63" s="18">
        <f t="shared" ref="M63:R63" si="24">M62/M27</f>
        <v>0.41011351306234878</v>
      </c>
      <c r="N63" s="18">
        <f t="shared" si="24"/>
        <v>0.41011351306234872</v>
      </c>
      <c r="O63" s="18">
        <f t="shared" si="24"/>
        <v>0.42011351306234873</v>
      </c>
      <c r="P63" s="18">
        <f t="shared" si="24"/>
        <v>0.42011351306234873</v>
      </c>
      <c r="Q63" s="18">
        <f t="shared" si="24"/>
        <v>0.44011351306234869</v>
      </c>
      <c r="R63" s="18">
        <f t="shared" si="24"/>
        <v>0.44011351306234869</v>
      </c>
    </row>
    <row r="64" spans="1:18" x14ac:dyDescent="0.35">
      <c r="A64" s="6"/>
      <c r="D64" s="7"/>
      <c r="E64" s="7"/>
      <c r="F64" s="7"/>
      <c r="G64" s="7"/>
      <c r="H64" s="8"/>
      <c r="I64" s="8"/>
      <c r="J64" s="8"/>
      <c r="K64" s="8"/>
      <c r="L64" s="8"/>
      <c r="M64" s="8"/>
      <c r="N64" s="7"/>
      <c r="O64" s="7"/>
      <c r="P64" s="7"/>
      <c r="Q64" s="7"/>
      <c r="R64" s="7"/>
    </row>
    <row r="65" spans="1:19" ht="15.5" x14ac:dyDescent="0.35">
      <c r="A65" s="29" t="s">
        <v>42</v>
      </c>
      <c r="D65" s="7"/>
      <c r="E65" s="7"/>
      <c r="F65" s="7"/>
      <c r="G65" s="7"/>
      <c r="H65">
        <f>IS!F22</f>
        <v>1237</v>
      </c>
      <c r="I65">
        <f>IS!G22</f>
        <v>1339</v>
      </c>
      <c r="J65">
        <f>IS!H22</f>
        <v>1566</v>
      </c>
      <c r="K65">
        <f>IS!I22</f>
        <v>1899</v>
      </c>
      <c r="L65">
        <f>IS!J22</f>
        <v>1961</v>
      </c>
      <c r="M65">
        <f>M62*M66</f>
        <v>2031.866444014842</v>
      </c>
      <c r="N65">
        <f t="shared" ref="N65:R65" si="25">N62*N66</f>
        <v>2082.6631051152126</v>
      </c>
      <c r="O65">
        <f t="shared" si="25"/>
        <v>2186.7818491494836</v>
      </c>
      <c r="P65">
        <f t="shared" si="25"/>
        <v>2241.4513953782207</v>
      </c>
      <c r="Q65">
        <f t="shared" si="25"/>
        <v>2406.8622949241044</v>
      </c>
      <c r="R65" s="13">
        <f t="shared" si="25"/>
        <v>2467.033852297207</v>
      </c>
    </row>
    <row r="66" spans="1:19" ht="15.5" x14ac:dyDescent="0.35">
      <c r="A66" s="29" t="s">
        <v>43</v>
      </c>
      <c r="D66" s="7"/>
      <c r="E66" s="7"/>
      <c r="F66" s="7"/>
      <c r="G66" s="7"/>
      <c r="H66" s="8">
        <f>H65/H62</f>
        <v>0.23756481659304782</v>
      </c>
      <c r="I66" s="8">
        <f t="shared" ref="I66:L66" si="26">I65/I62</f>
        <v>0.18446066951370713</v>
      </c>
      <c r="J66" s="8">
        <f t="shared" si="26"/>
        <v>0.18175487465181059</v>
      </c>
      <c r="K66" s="8">
        <f t="shared" si="26"/>
        <v>0.19899402703552341</v>
      </c>
      <c r="L66" s="8">
        <f t="shared" si="26"/>
        <v>0.20581444164567592</v>
      </c>
      <c r="M66" s="18">
        <f>AVERAGE(H66:L66)</f>
        <v>0.20171776588795298</v>
      </c>
      <c r="N66" s="18">
        <f>M66</f>
        <v>0.20171776588795298</v>
      </c>
      <c r="O66" s="18">
        <f t="shared" ref="O66:R66" si="27">N66</f>
        <v>0.20171776588795298</v>
      </c>
      <c r="P66" s="18">
        <f t="shared" si="27"/>
        <v>0.20171776588795298</v>
      </c>
      <c r="Q66" s="18">
        <f t="shared" si="27"/>
        <v>0.20171776588795298</v>
      </c>
      <c r="R66" s="18">
        <f t="shared" si="27"/>
        <v>0.20171776588795298</v>
      </c>
    </row>
    <row r="67" spans="1:19" x14ac:dyDescent="0.35"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9" ht="15.5" x14ac:dyDescent="0.35">
      <c r="A68" s="25" t="s">
        <v>38</v>
      </c>
      <c r="D68" s="7"/>
      <c r="E68" s="7"/>
      <c r="F68" s="7"/>
      <c r="G68" s="7"/>
      <c r="H68" s="7">
        <f>H62-H65</f>
        <v>3970</v>
      </c>
      <c r="I68" s="7">
        <f t="shared" ref="I68:R68" si="28">I62-I65</f>
        <v>5920</v>
      </c>
      <c r="J68" s="7">
        <f t="shared" si="28"/>
        <v>7050</v>
      </c>
      <c r="K68" s="7">
        <f t="shared" si="28"/>
        <v>7644</v>
      </c>
      <c r="L68" s="7">
        <f t="shared" si="28"/>
        <v>7567</v>
      </c>
      <c r="M68" s="7">
        <f t="shared" si="28"/>
        <v>8040.9520559851589</v>
      </c>
      <c r="N68" s="7">
        <f t="shared" si="28"/>
        <v>8241.9758573847867</v>
      </c>
      <c r="O68" s="7">
        <f t="shared" si="28"/>
        <v>8654.0176189755148</v>
      </c>
      <c r="P68" s="7">
        <f t="shared" si="28"/>
        <v>8870.3680594499019</v>
      </c>
      <c r="Q68" s="7">
        <f t="shared" si="28"/>
        <v>9524.9687182204216</v>
      </c>
      <c r="R68" s="7">
        <f t="shared" si="28"/>
        <v>9763.0929361759318</v>
      </c>
    </row>
    <row r="69" spans="1:19" ht="15.5" x14ac:dyDescent="0.35">
      <c r="A69" s="29" t="s">
        <v>34</v>
      </c>
      <c r="D69" s="7"/>
      <c r="E69" s="7"/>
      <c r="F69" s="7"/>
      <c r="G69" s="7"/>
      <c r="H69" s="8">
        <f t="shared" ref="H69:M69" si="29">H68/H27</f>
        <v>0.23562229212416166</v>
      </c>
      <c r="I69" s="8">
        <f t="shared" si="29"/>
        <v>0.30131826741996232</v>
      </c>
      <c r="J69" s="8">
        <f t="shared" si="29"/>
        <v>0.31961193217880135</v>
      </c>
      <c r="K69" s="8">
        <f t="shared" si="29"/>
        <v>0.32415928077689665</v>
      </c>
      <c r="L69" s="8">
        <f t="shared" si="29"/>
        <v>0.3157916701443953</v>
      </c>
      <c r="M69" s="18">
        <f t="shared" si="29"/>
        <v>0.32738633144695195</v>
      </c>
      <c r="N69" s="18">
        <f t="shared" ref="N69:R69" si="30">N68/N27</f>
        <v>0.32738633144695189</v>
      </c>
      <c r="O69" s="18">
        <f t="shared" si="30"/>
        <v>0.33536915378807242</v>
      </c>
      <c r="P69" s="18">
        <f t="shared" si="30"/>
        <v>0.33536915378807242</v>
      </c>
      <c r="Q69" s="18">
        <f t="shared" si="30"/>
        <v>0.35133479847031329</v>
      </c>
      <c r="R69" s="18">
        <f t="shared" si="30"/>
        <v>0.35133479847031329</v>
      </c>
    </row>
    <row r="70" spans="1:19" x14ac:dyDescent="0.35"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9" x14ac:dyDescent="0.35"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9" x14ac:dyDescent="0.35"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9" s="1" customFormat="1" ht="18.5" x14ac:dyDescent="0.45">
      <c r="A73" s="33" t="s">
        <v>49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 spans="1:19" x14ac:dyDescent="0.35"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9" x14ac:dyDescent="0.35">
      <c r="A75" s="5"/>
      <c r="B75" s="5"/>
      <c r="C75" s="5"/>
      <c r="D75" s="5"/>
      <c r="E75" s="5"/>
      <c r="F75" s="5"/>
      <c r="G75" s="5"/>
      <c r="H75" s="46" t="s">
        <v>27</v>
      </c>
      <c r="I75" s="46"/>
      <c r="J75" s="46"/>
      <c r="K75" s="46"/>
      <c r="L75" s="46"/>
      <c r="M75" s="45" t="s">
        <v>28</v>
      </c>
      <c r="N75" s="45"/>
      <c r="O75" s="45"/>
      <c r="P75" s="45"/>
      <c r="Q75" s="45"/>
      <c r="R75" s="45"/>
    </row>
    <row r="76" spans="1:19" x14ac:dyDescent="0.35">
      <c r="A76" s="5" t="s">
        <v>29</v>
      </c>
      <c r="B76" s="5"/>
      <c r="C76" s="5"/>
      <c r="D76" s="5"/>
      <c r="E76" s="5"/>
      <c r="F76" s="5"/>
      <c r="G76" s="5"/>
      <c r="H76" s="5">
        <v>2020</v>
      </c>
      <c r="I76" s="5">
        <f>H76+1</f>
        <v>2021</v>
      </c>
      <c r="J76" s="5">
        <f t="shared" ref="J76" si="31">I76+1</f>
        <v>2022</v>
      </c>
      <c r="K76" s="5">
        <f t="shared" ref="K76" si="32">J76+1</f>
        <v>2023</v>
      </c>
      <c r="L76" s="5">
        <f t="shared" ref="L76" si="33">K76+1</f>
        <v>2024</v>
      </c>
      <c r="M76" s="9">
        <f>L76+1</f>
        <v>2025</v>
      </c>
      <c r="N76" s="9">
        <f t="shared" ref="N76" si="34">M76+1</f>
        <v>2026</v>
      </c>
      <c r="O76" s="9">
        <f t="shared" ref="O76" si="35">N76+1</f>
        <v>2027</v>
      </c>
      <c r="P76" s="9">
        <f t="shared" ref="P76" si="36">O76+1</f>
        <v>2028</v>
      </c>
      <c r="Q76" s="9">
        <f t="shared" ref="Q76" si="37">P76+1</f>
        <v>2029</v>
      </c>
      <c r="R76" s="9">
        <f t="shared" ref="R76" si="38">Q76+1</f>
        <v>2030</v>
      </c>
    </row>
    <row r="77" spans="1:19" ht="15.5" x14ac:dyDescent="0.35">
      <c r="A77" s="25" t="s">
        <v>37</v>
      </c>
      <c r="D77" s="7"/>
      <c r="E77" s="7"/>
      <c r="F77" s="7"/>
      <c r="G77" s="7"/>
      <c r="H77" s="7"/>
      <c r="I77" s="7"/>
      <c r="J77" s="7"/>
      <c r="K77" s="7"/>
      <c r="L77" s="7"/>
      <c r="M77" s="7">
        <f>M56</f>
        <v>11543.693500000001</v>
      </c>
      <c r="N77" s="7">
        <f t="shared" ref="N77:R77" si="39">N56</f>
        <v>11832.2858375</v>
      </c>
      <c r="O77" s="7">
        <f t="shared" si="39"/>
        <v>12386.137514999999</v>
      </c>
      <c r="P77" s="7">
        <f t="shared" si="39"/>
        <v>12695.790952874997</v>
      </c>
      <c r="Q77" s="7">
        <f t="shared" si="39"/>
        <v>13555.401798642573</v>
      </c>
      <c r="R77" s="7">
        <f t="shared" si="39"/>
        <v>13894.286843608636</v>
      </c>
    </row>
    <row r="78" spans="1:19" ht="15.5" x14ac:dyDescent="0.35">
      <c r="A78" s="25" t="s">
        <v>50</v>
      </c>
      <c r="D78" s="7"/>
      <c r="E78" s="7"/>
      <c r="F78" s="7"/>
      <c r="G78" s="7"/>
      <c r="H78" s="7"/>
      <c r="I78" s="7"/>
      <c r="J78" s="7"/>
      <c r="K78" s="7"/>
      <c r="L78" s="7"/>
      <c r="M78" s="8">
        <f>1-M66</f>
        <v>0.79828223411204702</v>
      </c>
      <c r="N78" s="8">
        <f t="shared" ref="N78:R78" si="40">1-N66</f>
        <v>0.79828223411204702</v>
      </c>
      <c r="O78" s="8">
        <f t="shared" si="40"/>
        <v>0.79828223411204702</v>
      </c>
      <c r="P78" s="8">
        <f t="shared" si="40"/>
        <v>0.79828223411204702</v>
      </c>
      <c r="Q78" s="8">
        <f t="shared" si="40"/>
        <v>0.79828223411204702</v>
      </c>
      <c r="R78" s="8">
        <f t="shared" si="40"/>
        <v>0.79828223411204702</v>
      </c>
    </row>
    <row r="79" spans="1:19" ht="15.5" x14ac:dyDescent="0.35">
      <c r="A79" s="23" t="s">
        <v>51</v>
      </c>
      <c r="D79" s="7"/>
      <c r="E79" s="7"/>
      <c r="F79" s="7"/>
      <c r="G79" s="7"/>
      <c r="H79" s="7"/>
      <c r="I79" s="7"/>
      <c r="J79" s="7"/>
      <c r="K79" s="7"/>
      <c r="L79" s="7"/>
      <c r="M79" s="7">
        <f>M77*M78</f>
        <v>9215.1254370847164</v>
      </c>
      <c r="N79" s="7">
        <f t="shared" ref="N79:R79" si="41">N77*N78</f>
        <v>9445.5035730118325</v>
      </c>
      <c r="O79" s="7">
        <f t="shared" si="41"/>
        <v>9887.6335274932371</v>
      </c>
      <c r="P79" s="7">
        <f t="shared" si="41"/>
        <v>10134.824365680566</v>
      </c>
      <c r="Q79" s="7">
        <f t="shared" si="41"/>
        <v>10821.036432106854</v>
      </c>
      <c r="R79" s="7">
        <f t="shared" si="41"/>
        <v>11091.562342909523</v>
      </c>
      <c r="S79" s="7"/>
    </row>
    <row r="80" spans="1:19" ht="15.5" x14ac:dyDescent="0.35">
      <c r="A80" s="25" t="s">
        <v>52</v>
      </c>
      <c r="D80" s="7"/>
      <c r="E80" s="7"/>
      <c r="F80" s="7"/>
      <c r="G80" s="7"/>
      <c r="H80" s="7"/>
      <c r="I80" s="7"/>
      <c r="J80" s="7"/>
      <c r="K80" s="7"/>
      <c r="L80" s="7"/>
      <c r="M80" s="7">
        <f>M50</f>
        <v>1964.884</v>
      </c>
      <c r="N80" s="7">
        <f t="shared" ref="N80:R80" si="42">N50</f>
        <v>2014.0060999999998</v>
      </c>
      <c r="O80" s="7">
        <f t="shared" si="42"/>
        <v>2064.3562524999998</v>
      </c>
      <c r="P80" s="7">
        <f t="shared" si="42"/>
        <v>2115.9651588124993</v>
      </c>
      <c r="Q80" s="7">
        <f t="shared" si="42"/>
        <v>2168.864287782812</v>
      </c>
      <c r="R80" s="7">
        <f t="shared" si="42"/>
        <v>2223.0858949773819</v>
      </c>
    </row>
    <row r="81" spans="1:22" ht="15.5" x14ac:dyDescent="0.35">
      <c r="A81" s="25" t="s">
        <v>53</v>
      </c>
      <c r="D81" s="7"/>
      <c r="E81" s="7"/>
      <c r="F81" s="7"/>
      <c r="G81" s="7"/>
      <c r="H81" s="7"/>
      <c r="I81" s="7"/>
      <c r="J81" s="7"/>
      <c r="K81" s="7"/>
      <c r="L81" s="7"/>
      <c r="M81" s="7">
        <f>-IS!K28</f>
        <v>-2707</v>
      </c>
      <c r="N81" s="7">
        <f>-IS!L28</f>
        <v>-2928</v>
      </c>
      <c r="O81" s="7">
        <f>-IS!M28</f>
        <v>-3261</v>
      </c>
      <c r="P81" s="7">
        <f>-IS!N28</f>
        <v>-3525</v>
      </c>
      <c r="Q81" s="7">
        <f>-IS!O28</f>
        <v>-3774.0819325740654</v>
      </c>
      <c r="R81" s="7">
        <f>-IS!P28</f>
        <v>-4040.7643783778699</v>
      </c>
    </row>
    <row r="82" spans="1:22" ht="15.5" x14ac:dyDescent="0.35">
      <c r="A82" s="25" t="s">
        <v>54</v>
      </c>
      <c r="D82" s="7"/>
      <c r="E82" s="7"/>
      <c r="F82" s="7"/>
      <c r="G82" s="7"/>
      <c r="H82" s="7"/>
      <c r="I82" s="7"/>
      <c r="J82" s="7"/>
      <c r="K82" s="7"/>
      <c r="L82" s="7"/>
      <c r="M82" s="7">
        <f>-M117</f>
        <v>0.64021101689058924</v>
      </c>
      <c r="N82" s="7">
        <f>-N117</f>
        <v>-60.854379741978619</v>
      </c>
      <c r="O82" s="7">
        <f t="shared" ref="O82:R82" si="43">-O117</f>
        <v>-63.432102667933805</v>
      </c>
      <c r="P82" s="7">
        <f t="shared" si="43"/>
        <v>-66.115836568104442</v>
      </c>
      <c r="Q82" s="7">
        <f t="shared" si="43"/>
        <v>-68.909867413750817</v>
      </c>
      <c r="R82" s="7">
        <f t="shared" si="43"/>
        <v>-71.818652690091312</v>
      </c>
    </row>
    <row r="83" spans="1:22" ht="15.5" x14ac:dyDescent="0.35">
      <c r="A83" s="23" t="s">
        <v>55</v>
      </c>
      <c r="D83" s="7"/>
      <c r="E83" s="7"/>
      <c r="F83" s="7"/>
      <c r="G83" s="7"/>
      <c r="H83" s="7"/>
      <c r="I83" s="7"/>
      <c r="J83" s="7"/>
      <c r="K83" s="7"/>
      <c r="L83" s="7"/>
      <c r="M83" s="19">
        <f>M79+M80+M81+M82</f>
        <v>8473.6496481016075</v>
      </c>
      <c r="N83" s="19">
        <f>N79+N80+N81+N82</f>
        <v>8470.6552932698542</v>
      </c>
      <c r="O83" s="19">
        <f t="shared" ref="O83:R83" si="44">O79+O80+O81+O82</f>
        <v>8627.5576773253033</v>
      </c>
      <c r="P83" s="19">
        <f t="shared" si="44"/>
        <v>8659.673687924962</v>
      </c>
      <c r="Q83" s="19">
        <f t="shared" si="44"/>
        <v>9146.908919901849</v>
      </c>
      <c r="R83" s="19">
        <f t="shared" si="44"/>
        <v>9202.0652068189429</v>
      </c>
    </row>
    <row r="85" spans="1:22" ht="15.5" x14ac:dyDescent="0.35">
      <c r="A85" s="25" t="s">
        <v>66</v>
      </c>
      <c r="M85">
        <v>1</v>
      </c>
      <c r="N85">
        <f>M85+1</f>
        <v>2</v>
      </c>
      <c r="O85">
        <f t="shared" ref="O85:R85" si="45">N85+1</f>
        <v>3</v>
      </c>
      <c r="P85">
        <f t="shared" si="45"/>
        <v>4</v>
      </c>
      <c r="Q85">
        <f t="shared" si="45"/>
        <v>5</v>
      </c>
      <c r="R85">
        <f t="shared" si="45"/>
        <v>6</v>
      </c>
    </row>
    <row r="86" spans="1:22" ht="15.5" x14ac:dyDescent="0.35">
      <c r="A86" s="25" t="s">
        <v>87</v>
      </c>
      <c r="M86" s="20">
        <f>1/(1+WACC!$B$23)^M85</f>
        <v>0.93109419064513621</v>
      </c>
      <c r="N86" s="20">
        <f>1/(1+WACC!$B$23)^N85</f>
        <v>0.86693639185312121</v>
      </c>
      <c r="O86" s="20">
        <f>1/(1+WACC!$B$23)^O85</f>
        <v>0.80719943811329653</v>
      </c>
      <c r="P86" s="20">
        <f>1/(1+WACC!$B$23)^P85</f>
        <v>0.75157870751930855</v>
      </c>
      <c r="Q86" s="20">
        <f>1/(1+WACC!$B$23)^Q85</f>
        <v>0.69979056838380815</v>
      </c>
      <c r="R86" s="20">
        <f>1/(1+WACC!$B$23)^R85</f>
        <v>0.65157093289042167</v>
      </c>
    </row>
    <row r="88" spans="1:22" ht="15.5" x14ac:dyDescent="0.35">
      <c r="A88" s="23" t="s">
        <v>88</v>
      </c>
      <c r="M88" s="21">
        <f>M83*M86</f>
        <v>7889.765960909609</v>
      </c>
      <c r="N88" s="21">
        <f t="shared" ref="N88:R88" si="46">N83*N86</f>
        <v>7343.51933657891</v>
      </c>
      <c r="O88" s="21">
        <f t="shared" si="46"/>
        <v>6964.1597094270428</v>
      </c>
      <c r="P88" s="21">
        <f t="shared" si="46"/>
        <v>6508.4263579096068</v>
      </c>
      <c r="Q88" s="21">
        <f t="shared" si="46"/>
        <v>6400.9205920130398</v>
      </c>
      <c r="R88" s="21">
        <f t="shared" si="46"/>
        <v>5995.7982113255093</v>
      </c>
    </row>
    <row r="89" spans="1:22" ht="15.5" x14ac:dyDescent="0.35">
      <c r="A89" s="25"/>
    </row>
    <row r="90" spans="1:22" ht="15.5" x14ac:dyDescent="0.35">
      <c r="A90" s="23" t="s">
        <v>89</v>
      </c>
      <c r="R90" s="21">
        <f>(R83*(1+tgr))/(wacc-tgr)</f>
        <v>331532.2428695538</v>
      </c>
    </row>
    <row r="91" spans="1:22" ht="15.5" x14ac:dyDescent="0.35">
      <c r="A91" s="23" t="s">
        <v>90</v>
      </c>
      <c r="R91" s="21">
        <f>R90*R86</f>
        <v>216016.77276976901</v>
      </c>
    </row>
    <row r="92" spans="1:22" ht="15" thickBot="1" x14ac:dyDescent="0.4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spans="1:22" ht="15" thickTop="1" x14ac:dyDescent="0.35"/>
    <row r="94" spans="1:22" ht="15.5" x14ac:dyDescent="0.35">
      <c r="A94" s="23" t="s">
        <v>91</v>
      </c>
      <c r="R94" s="24">
        <f>R91+SUM(M88:R88)</f>
        <v>257119.36293793272</v>
      </c>
    </row>
    <row r="95" spans="1:22" ht="15.5" x14ac:dyDescent="0.35">
      <c r="A95" s="25" t="s">
        <v>92</v>
      </c>
      <c r="R95" s="25">
        <v>1048</v>
      </c>
    </row>
    <row r="96" spans="1:22" ht="15.5" x14ac:dyDescent="0.35">
      <c r="A96" s="25" t="s">
        <v>93</v>
      </c>
      <c r="R96" s="26">
        <v>-49553</v>
      </c>
    </row>
    <row r="97" spans="1:18" ht="15.5" x14ac:dyDescent="0.35">
      <c r="A97" s="23" t="s">
        <v>94</v>
      </c>
      <c r="R97" s="24">
        <f>SUM(R94:R96)</f>
        <v>208614.36293793272</v>
      </c>
    </row>
    <row r="98" spans="1:18" ht="15.5" x14ac:dyDescent="0.35">
      <c r="A98" t="s">
        <v>97</v>
      </c>
      <c r="R98" s="25">
        <v>712</v>
      </c>
    </row>
    <row r="99" spans="1:18" ht="15.5" x14ac:dyDescent="0.35">
      <c r="A99" s="17" t="s">
        <v>98</v>
      </c>
      <c r="R99" s="35">
        <f>R97/R98</f>
        <v>292.99770075552345</v>
      </c>
    </row>
    <row r="100" spans="1:18" x14ac:dyDescent="0.35">
      <c r="A100" s="17"/>
    </row>
    <row r="101" spans="1:18" s="1" customFormat="1" ht="18.5" x14ac:dyDescent="0.45">
      <c r="A101" s="33" t="s">
        <v>57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</row>
    <row r="103" spans="1:18" ht="15.5" x14ac:dyDescent="0.35">
      <c r="A103" s="25" t="s">
        <v>58</v>
      </c>
      <c r="H103">
        <v>1725</v>
      </c>
      <c r="I103">
        <v>1647</v>
      </c>
      <c r="J103">
        <v>1982</v>
      </c>
      <c r="K103">
        <v>2252</v>
      </c>
      <c r="L103">
        <v>2301</v>
      </c>
      <c r="M103" s="13">
        <f>M27*M104</f>
        <v>2296.906337743972</v>
      </c>
      <c r="N103" s="13">
        <f t="shared" ref="N103:R103" si="47">N27*N104</f>
        <v>2354.3289961875716</v>
      </c>
      <c r="O103" s="13">
        <f t="shared" si="47"/>
        <v>2413.1872210922602</v>
      </c>
      <c r="P103" s="13">
        <f t="shared" si="47"/>
        <v>2473.5169016195669</v>
      </c>
      <c r="Q103" s="13">
        <f t="shared" si="47"/>
        <v>2535.3548241600556</v>
      </c>
      <c r="R103" s="13">
        <f t="shared" si="47"/>
        <v>2598.7386947640571</v>
      </c>
    </row>
    <row r="104" spans="1:18" ht="15.5" x14ac:dyDescent="0.35">
      <c r="A104" s="32" t="s">
        <v>39</v>
      </c>
      <c r="H104" s="8">
        <f>H103/H27</f>
        <v>0.10237996320256396</v>
      </c>
      <c r="I104" s="8">
        <f t="shared" ref="I104:L104" si="48">I103/I27</f>
        <v>8.3829592304168574E-2</v>
      </c>
      <c r="J104" s="10">
        <f t="shared" si="48"/>
        <v>8.985402121679209E-2</v>
      </c>
      <c r="K104" s="8">
        <f t="shared" si="48"/>
        <v>9.5500614901827749E-2</v>
      </c>
      <c r="L104" s="8">
        <f t="shared" si="48"/>
        <v>9.6027042817794839E-2</v>
      </c>
      <c r="M104" s="18">
        <f>AVERAGE(H104:L104)</f>
        <v>9.3518246888629447E-2</v>
      </c>
      <c r="N104" s="18">
        <f>M104</f>
        <v>9.3518246888629447E-2</v>
      </c>
      <c r="O104" s="18">
        <f t="shared" ref="O104:R104" si="49">N104</f>
        <v>9.3518246888629447E-2</v>
      </c>
      <c r="P104" s="18">
        <f t="shared" si="49"/>
        <v>9.3518246888629447E-2</v>
      </c>
      <c r="Q104" s="18">
        <f>P104</f>
        <v>9.3518246888629447E-2</v>
      </c>
      <c r="R104" s="18">
        <f t="shared" si="49"/>
        <v>9.3518246888629447E-2</v>
      </c>
    </row>
    <row r="105" spans="1:18" x14ac:dyDescent="0.35">
      <c r="A105" s="15"/>
      <c r="H105" s="8"/>
      <c r="I105" s="8"/>
      <c r="J105" s="10"/>
      <c r="K105" s="8"/>
      <c r="L105" s="8"/>
    </row>
    <row r="106" spans="1:18" ht="15.5" x14ac:dyDescent="0.35">
      <c r="A106" s="25" t="s">
        <v>59</v>
      </c>
      <c r="H106">
        <v>42</v>
      </c>
      <c r="I106">
        <v>49</v>
      </c>
      <c r="J106">
        <v>49</v>
      </c>
      <c r="K106">
        <v>48</v>
      </c>
      <c r="L106">
        <v>54</v>
      </c>
      <c r="M106" s="13">
        <f>M27*M107</f>
        <v>56.477007037999179</v>
      </c>
      <c r="N106" s="13">
        <f t="shared" ref="N106:R106" si="50">N27*N107</f>
        <v>57.888932213949161</v>
      </c>
      <c r="O106" s="13">
        <f t="shared" si="50"/>
        <v>59.336155519297876</v>
      </c>
      <c r="P106" s="13">
        <f t="shared" si="50"/>
        <v>60.819559407280323</v>
      </c>
      <c r="Q106" s="13">
        <f t="shared" si="50"/>
        <v>62.340048392462329</v>
      </c>
      <c r="R106" s="13">
        <f t="shared" si="50"/>
        <v>63.898549602273881</v>
      </c>
    </row>
    <row r="107" spans="1:18" ht="15.5" x14ac:dyDescent="0.35">
      <c r="A107" s="32" t="s">
        <v>39</v>
      </c>
      <c r="H107" s="10">
        <f>H106/H27</f>
        <v>2.4927295388450354E-3</v>
      </c>
      <c r="I107" s="10">
        <f t="shared" ref="I107:L107" si="51">I106/I27</f>
        <v>2.4940194431719858E-3</v>
      </c>
      <c r="J107" s="10">
        <f t="shared" si="51"/>
        <v>2.2214162662072719E-3</v>
      </c>
      <c r="K107" s="10">
        <f t="shared" si="51"/>
        <v>2.0355370849412663E-3</v>
      </c>
      <c r="L107" s="10">
        <f t="shared" si="51"/>
        <v>2.2535681495701528E-3</v>
      </c>
      <c r="M107" s="27">
        <f>AVERAGE(H107:L107)</f>
        <v>2.2994540965471421E-3</v>
      </c>
      <c r="N107" s="27">
        <f>M107</f>
        <v>2.2994540965471421E-3</v>
      </c>
      <c r="O107" s="27">
        <f t="shared" ref="O107:R107" si="52">N107</f>
        <v>2.2994540965471421E-3</v>
      </c>
      <c r="P107" s="27">
        <f t="shared" si="52"/>
        <v>2.2994540965471421E-3</v>
      </c>
      <c r="Q107" s="27">
        <f t="shared" si="52"/>
        <v>2.2994540965471421E-3</v>
      </c>
      <c r="R107" s="27">
        <f t="shared" si="52"/>
        <v>2.2994540965471421E-3</v>
      </c>
    </row>
    <row r="108" spans="1:18" x14ac:dyDescent="0.35">
      <c r="A108" s="15"/>
    </row>
    <row r="109" spans="1:18" ht="15.5" x14ac:dyDescent="0.35">
      <c r="A109" s="23" t="s">
        <v>60</v>
      </c>
      <c r="H109">
        <f>SUM(H103:H106)</f>
        <v>1767.1023799632026</v>
      </c>
      <c r="I109">
        <f t="shared" ref="I109:L109" si="53">SUM(I103:I106)</f>
        <v>1696.0838295923043</v>
      </c>
      <c r="J109">
        <f t="shared" si="53"/>
        <v>2031.0898540212168</v>
      </c>
      <c r="K109">
        <f t="shared" si="53"/>
        <v>2300.095500614902</v>
      </c>
      <c r="L109">
        <f t="shared" si="53"/>
        <v>2355.0960270428177</v>
      </c>
      <c r="M109" s="13">
        <f t="shared" ref="M109" si="54">SUM(M103:M106)</f>
        <v>2353.47686302886</v>
      </c>
      <c r="N109" s="13">
        <f t="shared" ref="N109" si="55">SUM(N103:N106)</f>
        <v>2412.3114466484099</v>
      </c>
      <c r="O109" s="13">
        <f t="shared" ref="O109" si="56">SUM(O103:O106)</f>
        <v>2472.6168948584468</v>
      </c>
      <c r="P109" s="13">
        <f t="shared" ref="P109" si="57">SUM(P103:P106)</f>
        <v>2534.4299792737361</v>
      </c>
      <c r="Q109" s="13">
        <f t="shared" ref="Q109" si="58">SUM(Q103:Q106)</f>
        <v>2597.7883907994069</v>
      </c>
      <c r="R109" s="13">
        <f t="shared" ref="R109" si="59">SUM(R103:R106)</f>
        <v>2662.7307626132197</v>
      </c>
    </row>
    <row r="111" spans="1:18" ht="15.5" x14ac:dyDescent="0.35">
      <c r="A111" s="25" t="s">
        <v>61</v>
      </c>
      <c r="H111">
        <v>606</v>
      </c>
      <c r="I111">
        <v>885</v>
      </c>
      <c r="J111">
        <v>918</v>
      </c>
      <c r="K111">
        <v>998</v>
      </c>
      <c r="L111">
        <v>994</v>
      </c>
      <c r="M111" s="13">
        <f>M33*M112</f>
        <v>993.02104700293273</v>
      </c>
      <c r="N111" s="13">
        <f t="shared" ref="N111:R111" si="60">N33*N112</f>
        <v>991.00125088050413</v>
      </c>
      <c r="O111" s="13">
        <f t="shared" si="60"/>
        <v>987.8745964226074</v>
      </c>
      <c r="P111" s="13">
        <f t="shared" si="60"/>
        <v>983.57184426979222</v>
      </c>
      <c r="Q111" s="13">
        <f t="shared" si="60"/>
        <v>978.02038838171222</v>
      </c>
      <c r="R111" s="13">
        <f t="shared" si="60"/>
        <v>971.14410750543357</v>
      </c>
    </row>
    <row r="112" spans="1:18" ht="15.5" x14ac:dyDescent="0.35">
      <c r="A112" s="32" t="s">
        <v>65</v>
      </c>
      <c r="H112" s="8">
        <f>H111/H33</f>
        <v>8.9275191514437247E-2</v>
      </c>
      <c r="I112" s="8">
        <f t="shared" ref="I112:L112" si="61">I111/I33</f>
        <v>0.11828388131515638</v>
      </c>
      <c r="J112" s="8">
        <f t="shared" si="61"/>
        <v>0.1172264078661729</v>
      </c>
      <c r="K112" s="8">
        <f t="shared" si="61"/>
        <v>0.11854139446490082</v>
      </c>
      <c r="L112" s="8">
        <f t="shared" si="61"/>
        <v>0.11659824046920821</v>
      </c>
      <c r="M112" s="18">
        <f>L112</f>
        <v>0.11659824046920821</v>
      </c>
      <c r="N112" s="18">
        <f t="shared" ref="N112:R112" si="62">M112</f>
        <v>0.11659824046920821</v>
      </c>
      <c r="O112" s="18">
        <f t="shared" si="62"/>
        <v>0.11659824046920821</v>
      </c>
      <c r="P112" s="18">
        <f t="shared" si="62"/>
        <v>0.11659824046920821</v>
      </c>
      <c r="Q112" s="18">
        <f t="shared" si="62"/>
        <v>0.11659824046920821</v>
      </c>
      <c r="R112" s="18">
        <f t="shared" si="62"/>
        <v>0.11659824046920821</v>
      </c>
    </row>
    <row r="114" spans="1:18" ht="15.5" x14ac:dyDescent="0.35">
      <c r="A114" s="23" t="s">
        <v>62</v>
      </c>
      <c r="H114">
        <f>SUM(H111)</f>
        <v>606</v>
      </c>
      <c r="I114">
        <f t="shared" ref="I114:L114" si="63">SUM(I111)</f>
        <v>885</v>
      </c>
      <c r="J114">
        <f t="shared" si="63"/>
        <v>918</v>
      </c>
      <c r="K114">
        <f t="shared" si="63"/>
        <v>998</v>
      </c>
      <c r="L114" s="13">
        <f t="shared" si="63"/>
        <v>994</v>
      </c>
      <c r="M114" s="13">
        <f t="shared" ref="M114" si="64">SUM(M111)</f>
        <v>993.02104700293273</v>
      </c>
      <c r="N114" s="13">
        <f t="shared" ref="N114" si="65">SUM(N111)</f>
        <v>991.00125088050413</v>
      </c>
      <c r="O114" s="13">
        <f t="shared" ref="O114" si="66">SUM(O111)</f>
        <v>987.8745964226074</v>
      </c>
      <c r="P114" s="13">
        <f t="shared" ref="P114" si="67">SUM(P111)</f>
        <v>983.57184426979222</v>
      </c>
      <c r="Q114" s="13">
        <f t="shared" ref="Q114" si="68">SUM(Q111)</f>
        <v>978.02038838171222</v>
      </c>
      <c r="R114" s="13">
        <f t="shared" ref="R114" si="69">SUM(R111)</f>
        <v>971.14410750543357</v>
      </c>
    </row>
    <row r="116" spans="1:18" ht="15.5" x14ac:dyDescent="0.35">
      <c r="A116" s="23" t="s">
        <v>63</v>
      </c>
      <c r="H116">
        <f>H109-H114</f>
        <v>1161.1023799632026</v>
      </c>
      <c r="I116">
        <f t="shared" ref="I116:R116" si="70">I109-I114</f>
        <v>811.08382959230426</v>
      </c>
      <c r="J116">
        <f t="shared" si="70"/>
        <v>1113.0898540212168</v>
      </c>
      <c r="K116">
        <f t="shared" si="70"/>
        <v>1302.095500614902</v>
      </c>
      <c r="L116" s="13">
        <f t="shared" si="70"/>
        <v>1361.0960270428177</v>
      </c>
      <c r="M116" s="13">
        <f t="shared" si="70"/>
        <v>1360.4558160259271</v>
      </c>
      <c r="N116" s="13">
        <f t="shared" si="70"/>
        <v>1421.3101957679057</v>
      </c>
      <c r="O116" s="13">
        <f t="shared" si="70"/>
        <v>1484.7422984358395</v>
      </c>
      <c r="P116" s="13">
        <f t="shared" si="70"/>
        <v>1550.858135003944</v>
      </c>
      <c r="Q116" s="13">
        <f t="shared" si="70"/>
        <v>1619.7680024176948</v>
      </c>
      <c r="R116" s="13">
        <f t="shared" si="70"/>
        <v>1691.5866551077861</v>
      </c>
    </row>
    <row r="117" spans="1:18" ht="15.5" x14ac:dyDescent="0.35">
      <c r="A117" s="23" t="s">
        <v>64</v>
      </c>
      <c r="I117" s="13">
        <f>I116-H116</f>
        <v>-350.01855037089831</v>
      </c>
      <c r="J117" s="13">
        <f t="shared" ref="J117:L117" si="71">J116-I116</f>
        <v>302.0060244289125</v>
      </c>
      <c r="K117" s="13">
        <f t="shared" si="71"/>
        <v>189.00564659368524</v>
      </c>
      <c r="L117" s="13">
        <f t="shared" si="71"/>
        <v>59.000526427915702</v>
      </c>
      <c r="M117" s="28">
        <f t="shared" ref="M117" si="72">M116-L116</f>
        <v>-0.64021101689058924</v>
      </c>
      <c r="N117" s="28">
        <f t="shared" ref="N117" si="73">N116-M116</f>
        <v>60.854379741978619</v>
      </c>
      <c r="O117" s="28">
        <f t="shared" ref="O117" si="74">O116-N116</f>
        <v>63.432102667933805</v>
      </c>
      <c r="P117" s="28">
        <f t="shared" ref="P117" si="75">P116-O116</f>
        <v>66.115836568104442</v>
      </c>
      <c r="Q117" s="28">
        <f t="shared" ref="Q117" si="76">Q116-P116</f>
        <v>68.909867413750817</v>
      </c>
      <c r="R117" s="28">
        <f t="shared" ref="R117" si="77">R116-Q116</f>
        <v>71.818652690091312</v>
      </c>
    </row>
  </sheetData>
  <mergeCells count="5">
    <mergeCell ref="M25:R25"/>
    <mergeCell ref="H25:L25"/>
    <mergeCell ref="H75:L75"/>
    <mergeCell ref="M75:R75"/>
    <mergeCell ref="A3:C3"/>
  </mergeCells>
  <dataValidations count="1">
    <dataValidation type="list" allowBlank="1" showInputMessage="1" showErrorMessage="1" sqref="B15" xr:uid="{97E91C20-D4E7-41BA-B9CF-0F57D85A0A17}">
      <formula1>$B$17:$B$19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7F63-2F9A-4971-BACF-3F158E878FC1}">
  <sheetPr>
    <tabColor rgb="FFC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D407-78DF-4E49-98B6-55C5FE6FFC13}">
  <dimension ref="A1:P30"/>
  <sheetViews>
    <sheetView topLeftCell="A10" zoomScale="90" zoomScaleNormal="90" workbookViewId="0">
      <selection activeCell="N9" sqref="N9"/>
    </sheetView>
  </sheetViews>
  <sheetFormatPr defaultRowHeight="14.5" x14ac:dyDescent="0.35"/>
  <cols>
    <col min="1" max="1" width="32.36328125" bestFit="1" customWidth="1"/>
    <col min="11" max="11" width="10.453125" bestFit="1" customWidth="1"/>
  </cols>
  <sheetData>
    <row r="1" spans="1:11" ht="19" customHeight="1" x14ac:dyDescent="0.35">
      <c r="A1" s="44" t="s">
        <v>0</v>
      </c>
      <c r="B1" s="43">
        <v>46372</v>
      </c>
      <c r="C1" s="43">
        <v>46373</v>
      </c>
      <c r="D1" s="43">
        <v>46374</v>
      </c>
      <c r="E1" s="43">
        <v>46375</v>
      </c>
      <c r="F1" s="43">
        <v>46376</v>
      </c>
      <c r="G1" s="43">
        <v>46377</v>
      </c>
      <c r="H1" s="43">
        <v>46378</v>
      </c>
      <c r="I1" s="43">
        <v>46379</v>
      </c>
      <c r="J1" s="43">
        <v>46380</v>
      </c>
      <c r="K1" s="17" t="s">
        <v>1</v>
      </c>
    </row>
    <row r="2" spans="1:11" ht="15.5" x14ac:dyDescent="0.35">
      <c r="A2" s="25" t="s">
        <v>2</v>
      </c>
      <c r="B2" s="26">
        <v>22258</v>
      </c>
      <c r="C2" s="26">
        <v>20232</v>
      </c>
      <c r="D2" s="26">
        <v>17822</v>
      </c>
      <c r="E2" s="26">
        <v>19086</v>
      </c>
      <c r="F2" s="26">
        <v>16849</v>
      </c>
      <c r="G2" s="26">
        <v>19647</v>
      </c>
      <c r="H2" s="26">
        <v>22058</v>
      </c>
      <c r="I2" s="26">
        <v>23581</v>
      </c>
      <c r="J2" s="26">
        <v>23962</v>
      </c>
      <c r="K2" s="26">
        <v>23790</v>
      </c>
    </row>
    <row r="3" spans="1:11" ht="15.5" x14ac:dyDescent="0.35">
      <c r="A3" s="25" t="s">
        <v>3</v>
      </c>
      <c r="B3" s="26">
        <v>13033</v>
      </c>
      <c r="C3" s="26">
        <v>10816</v>
      </c>
      <c r="D3" s="26">
        <v>8679</v>
      </c>
      <c r="E3" s="26">
        <v>9134</v>
      </c>
      <c r="F3" s="26">
        <v>8324</v>
      </c>
      <c r="G3" s="26">
        <v>9063</v>
      </c>
      <c r="H3" s="26">
        <v>9611</v>
      </c>
      <c r="I3" s="26">
        <v>10249</v>
      </c>
      <c r="J3" s="26">
        <v>10463</v>
      </c>
      <c r="K3" s="26">
        <v>10171</v>
      </c>
    </row>
    <row r="4" spans="1:11" ht="15.5" x14ac:dyDescent="0.35">
      <c r="A4" s="25" t="s">
        <v>4</v>
      </c>
      <c r="B4" s="26">
        <v>11662</v>
      </c>
      <c r="C4" s="26">
        <v>9607</v>
      </c>
      <c r="D4" s="26">
        <v>7423</v>
      </c>
      <c r="E4" s="26">
        <v>7689</v>
      </c>
      <c r="F4" s="26">
        <v>6788</v>
      </c>
      <c r="G4" s="26">
        <v>7482</v>
      </c>
      <c r="H4" s="26">
        <v>7831</v>
      </c>
      <c r="I4" s="26">
        <v>8419</v>
      </c>
      <c r="J4" s="26">
        <v>8525</v>
      </c>
      <c r="K4" s="26">
        <v>8200</v>
      </c>
    </row>
    <row r="5" spans="1:11" ht="15.5" x14ac:dyDescent="0.35">
      <c r="A5" s="25" t="s">
        <v>5</v>
      </c>
      <c r="B5" s="26">
        <v>1371</v>
      </c>
      <c r="C5" s="26">
        <v>1209</v>
      </c>
      <c r="D5" s="26">
        <v>1256</v>
      </c>
      <c r="E5" s="26">
        <v>1446</v>
      </c>
      <c r="F5" s="26">
        <v>1536</v>
      </c>
      <c r="G5" s="26">
        <v>1580</v>
      </c>
      <c r="H5" s="26">
        <v>1780</v>
      </c>
      <c r="I5" s="26">
        <v>1830</v>
      </c>
      <c r="J5" s="26">
        <v>1939</v>
      </c>
      <c r="K5" s="26">
        <v>1971</v>
      </c>
    </row>
    <row r="6" spans="1:11" ht="15.5" x14ac:dyDescent="0.35">
      <c r="A6" s="25" t="s">
        <v>6</v>
      </c>
      <c r="B6" s="26">
        <v>1257</v>
      </c>
      <c r="C6" s="26">
        <v>1088</v>
      </c>
      <c r="D6" s="26">
        <v>1104</v>
      </c>
      <c r="E6" s="26">
        <v>1244</v>
      </c>
      <c r="F6" s="26">
        <v>1289</v>
      </c>
      <c r="G6" s="26">
        <v>1295</v>
      </c>
      <c r="H6" s="26">
        <v>1383</v>
      </c>
      <c r="I6" s="26">
        <v>1389</v>
      </c>
      <c r="J6" s="26">
        <v>1387</v>
      </c>
      <c r="K6" s="26">
        <v>1387</v>
      </c>
    </row>
    <row r="7" spans="1:11" ht="15.5" x14ac:dyDescent="0.35">
      <c r="A7" s="25" t="s">
        <v>7</v>
      </c>
      <c r="B7" s="25">
        <v>114</v>
      </c>
      <c r="C7" s="25">
        <v>120</v>
      </c>
      <c r="D7" s="25">
        <v>152</v>
      </c>
      <c r="E7" s="25">
        <v>202</v>
      </c>
      <c r="F7" s="25">
        <v>247</v>
      </c>
      <c r="G7" s="25">
        <v>285</v>
      </c>
      <c r="H7" s="25">
        <v>396</v>
      </c>
      <c r="I7" s="25">
        <v>441</v>
      </c>
      <c r="J7" s="25">
        <v>552</v>
      </c>
      <c r="K7" s="25">
        <v>580</v>
      </c>
    </row>
    <row r="8" spans="1:11" ht="15.5" x14ac:dyDescent="0.35">
      <c r="A8" s="25" t="s">
        <v>8</v>
      </c>
      <c r="B8" s="26">
        <v>9225</v>
      </c>
      <c r="C8" s="26">
        <v>9416</v>
      </c>
      <c r="D8" s="26">
        <v>9143</v>
      </c>
      <c r="E8" s="26">
        <v>9954</v>
      </c>
      <c r="F8" s="26">
        <v>8525</v>
      </c>
      <c r="G8" s="26">
        <v>10585</v>
      </c>
      <c r="H8" s="26">
        <v>12447</v>
      </c>
      <c r="I8" s="26">
        <v>13332</v>
      </c>
      <c r="J8" s="26">
        <v>13499</v>
      </c>
      <c r="K8" s="26">
        <v>13619</v>
      </c>
    </row>
    <row r="9" spans="1:11" ht="15.5" x14ac:dyDescent="0.35">
      <c r="A9" s="25" t="s">
        <v>9</v>
      </c>
      <c r="B9" s="26">
        <v>2156</v>
      </c>
      <c r="C9" s="26">
        <v>1978</v>
      </c>
      <c r="D9" s="26">
        <v>1865</v>
      </c>
      <c r="E9" s="26">
        <v>2021</v>
      </c>
      <c r="F9" s="26">
        <v>2243</v>
      </c>
      <c r="G9" s="26">
        <v>2316</v>
      </c>
      <c r="H9" s="26">
        <v>2595</v>
      </c>
      <c r="I9" s="26">
        <v>2492</v>
      </c>
      <c r="J9" s="26">
        <v>2535</v>
      </c>
      <c r="K9" s="26">
        <v>2640</v>
      </c>
    </row>
    <row r="10" spans="1:11" ht="15.5" x14ac:dyDescent="0.35">
      <c r="A10" s="25" t="s">
        <v>10</v>
      </c>
      <c r="B10" s="26">
        <v>2156</v>
      </c>
      <c r="C10" s="26">
        <v>1978</v>
      </c>
      <c r="D10" s="26">
        <v>1865</v>
      </c>
      <c r="E10" s="26">
        <v>2021</v>
      </c>
      <c r="F10" s="26">
        <v>2243</v>
      </c>
      <c r="G10" s="26">
        <v>2316</v>
      </c>
      <c r="H10" s="26">
        <v>2595</v>
      </c>
      <c r="I10" s="26">
        <v>2492</v>
      </c>
      <c r="J10" s="26">
        <v>2535</v>
      </c>
      <c r="K10" s="26">
        <v>2640</v>
      </c>
    </row>
    <row r="11" spans="1:11" ht="15.5" x14ac:dyDescent="0.35">
      <c r="A11" s="25" t="s">
        <v>11</v>
      </c>
      <c r="B11" s="26">
        <v>7069</v>
      </c>
      <c r="C11" s="26">
        <v>7438</v>
      </c>
      <c r="D11" s="26">
        <v>7278</v>
      </c>
      <c r="E11" s="26">
        <v>7932</v>
      </c>
      <c r="F11" s="26">
        <v>6283</v>
      </c>
      <c r="G11" s="26">
        <v>8269</v>
      </c>
      <c r="H11" s="26">
        <v>9852</v>
      </c>
      <c r="I11" s="26">
        <v>10840</v>
      </c>
      <c r="J11" s="26">
        <v>10964</v>
      </c>
      <c r="K11" s="26">
        <v>10978</v>
      </c>
    </row>
    <row r="12" spans="1:11" ht="15.5" x14ac:dyDescent="0.35">
      <c r="A12" s="25" t="s">
        <v>12</v>
      </c>
      <c r="B12" s="25">
        <v>218</v>
      </c>
      <c r="C12" s="25">
        <v>296</v>
      </c>
      <c r="D12" s="25">
        <v>356</v>
      </c>
      <c r="E12" s="25">
        <v>267</v>
      </c>
      <c r="F12" s="25">
        <v>43</v>
      </c>
      <c r="G12" s="25">
        <v>118</v>
      </c>
      <c r="H12" s="26">
        <v>1263</v>
      </c>
      <c r="I12" s="25">
        <v>861</v>
      </c>
      <c r="J12" s="25">
        <v>272</v>
      </c>
      <c r="K12" s="26">
        <v>2168</v>
      </c>
    </row>
    <row r="13" spans="1:11" ht="15.5" x14ac:dyDescent="0.35">
      <c r="A13" s="25" t="s">
        <v>13</v>
      </c>
      <c r="B13" s="25">
        <v>4</v>
      </c>
      <c r="C13" s="25">
        <v>6</v>
      </c>
      <c r="D13" s="25">
        <v>3</v>
      </c>
      <c r="E13" s="25">
        <v>3</v>
      </c>
      <c r="F13" s="25">
        <v>16</v>
      </c>
      <c r="G13" s="25">
        <v>8</v>
      </c>
      <c r="H13" s="25">
        <v>42</v>
      </c>
      <c r="I13" s="25">
        <v>172</v>
      </c>
      <c r="J13" s="25">
        <v>95</v>
      </c>
      <c r="K13" s="25">
        <v>73</v>
      </c>
    </row>
    <row r="14" spans="1:11" ht="15.5" x14ac:dyDescent="0.35">
      <c r="A14" s="25" t="s">
        <v>14</v>
      </c>
      <c r="B14" s="25">
        <v>50</v>
      </c>
      <c r="C14" s="25">
        <v>163</v>
      </c>
      <c r="D14" s="25">
        <v>128</v>
      </c>
      <c r="E14" s="25">
        <v>137</v>
      </c>
      <c r="F14" s="25">
        <v>103</v>
      </c>
      <c r="G14" s="25">
        <v>149</v>
      </c>
      <c r="H14" s="25">
        <v>108</v>
      </c>
      <c r="I14" s="25">
        <v>142</v>
      </c>
      <c r="J14" s="25">
        <v>145</v>
      </c>
      <c r="K14" s="25">
        <v>176</v>
      </c>
    </row>
    <row r="15" spans="1:11" ht="15.5" x14ac:dyDescent="0.35">
      <c r="A15" s="25" t="s">
        <v>15</v>
      </c>
      <c r="B15" s="25">
        <v>165</v>
      </c>
      <c r="C15" s="25">
        <v>127</v>
      </c>
      <c r="D15" s="25">
        <v>224</v>
      </c>
      <c r="E15" s="25">
        <v>97</v>
      </c>
      <c r="F15" s="25">
        <v>201</v>
      </c>
      <c r="G15" s="25">
        <v>39</v>
      </c>
      <c r="H15" s="25">
        <v>-413</v>
      </c>
      <c r="I15" s="25">
        <v>547</v>
      </c>
      <c r="J15" s="25">
        <v>31</v>
      </c>
      <c r="K15" s="26">
        <v>-1919</v>
      </c>
    </row>
    <row r="16" spans="1:11" ht="15.5" x14ac:dyDescent="0.35">
      <c r="A16" s="25" t="s">
        <v>16</v>
      </c>
      <c r="B16" s="25">
        <v>799</v>
      </c>
      <c r="C16" s="25">
        <v>816</v>
      </c>
      <c r="D16" s="25">
        <v>831</v>
      </c>
      <c r="E16" s="26">
        <v>1057</v>
      </c>
      <c r="F16" s="26">
        <v>1075</v>
      </c>
      <c r="G16" s="26">
        <v>1010</v>
      </c>
      <c r="H16" s="26">
        <v>1236</v>
      </c>
      <c r="I16" s="26">
        <v>1297</v>
      </c>
      <c r="J16" s="26">
        <v>1435</v>
      </c>
      <c r="K16" s="26">
        <v>1460</v>
      </c>
    </row>
    <row r="17" spans="1:16" ht="15.5" x14ac:dyDescent="0.35">
      <c r="A17" s="25" t="s">
        <v>17</v>
      </c>
      <c r="B17" s="25">
        <v>806</v>
      </c>
      <c r="C17" s="25">
        <v>821</v>
      </c>
      <c r="D17" s="25">
        <v>835</v>
      </c>
      <c r="E17" s="26">
        <v>1063</v>
      </c>
      <c r="F17" s="26">
        <v>1080</v>
      </c>
      <c r="G17" s="26">
        <v>1016</v>
      </c>
      <c r="H17" s="26">
        <v>1245</v>
      </c>
      <c r="I17" s="26">
        <v>1303</v>
      </c>
      <c r="J17" s="26">
        <v>1443</v>
      </c>
      <c r="K17" s="26">
        <v>1460</v>
      </c>
    </row>
    <row r="18" spans="1:16" ht="15.5" x14ac:dyDescent="0.35">
      <c r="A18" s="25" t="s">
        <v>18</v>
      </c>
      <c r="B18" s="25">
        <v>6</v>
      </c>
      <c r="C18" s="25">
        <v>5</v>
      </c>
      <c r="D18" s="25">
        <v>5</v>
      </c>
      <c r="E18" s="25">
        <v>7</v>
      </c>
      <c r="F18" s="25">
        <v>5</v>
      </c>
      <c r="G18" s="25">
        <v>6</v>
      </c>
      <c r="H18" s="25">
        <v>9</v>
      </c>
      <c r="I18" s="25">
        <v>6</v>
      </c>
      <c r="J18" s="25">
        <v>8</v>
      </c>
      <c r="K18" s="25">
        <v>0</v>
      </c>
    </row>
    <row r="19" spans="1:16" ht="15.5" x14ac:dyDescent="0.35">
      <c r="A19" s="25" t="s">
        <v>19</v>
      </c>
      <c r="B19" s="25">
        <v>281</v>
      </c>
      <c r="C19" s="25">
        <v>-684</v>
      </c>
      <c r="D19" s="25">
        <v>177</v>
      </c>
      <c r="E19" s="25">
        <v>-21</v>
      </c>
      <c r="F19" s="25">
        <v>-261</v>
      </c>
      <c r="G19" s="25">
        <v>-346</v>
      </c>
      <c r="H19" s="25">
        <v>-94</v>
      </c>
      <c r="I19" s="25">
        <v>671</v>
      </c>
      <c r="J19" s="25">
        <v>238</v>
      </c>
      <c r="K19" s="26">
        <v>2015</v>
      </c>
    </row>
    <row r="20" spans="1:16" ht="15.5" x14ac:dyDescent="0.35">
      <c r="A20" s="25" t="s">
        <v>20</v>
      </c>
      <c r="B20" s="25">
        <v>309</v>
      </c>
      <c r="C20" s="25">
        <v>-623</v>
      </c>
      <c r="D20" s="25">
        <v>196</v>
      </c>
      <c r="E20" s="25">
        <v>66</v>
      </c>
      <c r="F20" s="25">
        <v>-235</v>
      </c>
      <c r="G20" s="25">
        <v>-241</v>
      </c>
      <c r="H20" s="25">
        <v>961</v>
      </c>
      <c r="I20" s="25">
        <v>335</v>
      </c>
      <c r="J20" s="25">
        <v>268</v>
      </c>
      <c r="K20" s="25">
        <v>138</v>
      </c>
    </row>
    <row r="21" spans="1:16" ht="15.5" x14ac:dyDescent="0.35">
      <c r="A21" s="25" t="s">
        <v>21</v>
      </c>
      <c r="B21" s="26">
        <v>6207</v>
      </c>
      <c r="C21" s="26">
        <v>7601</v>
      </c>
      <c r="D21" s="26">
        <v>6625</v>
      </c>
      <c r="E21" s="26">
        <v>7164</v>
      </c>
      <c r="F21" s="26">
        <v>5387</v>
      </c>
      <c r="G21" s="26">
        <v>7723</v>
      </c>
      <c r="H21" s="26">
        <v>7446</v>
      </c>
      <c r="I21" s="26">
        <v>9733</v>
      </c>
      <c r="J21" s="26">
        <v>9564</v>
      </c>
      <c r="K21" s="26">
        <v>9671</v>
      </c>
    </row>
    <row r="22" spans="1:16" ht="15.5" x14ac:dyDescent="0.35">
      <c r="A22" s="25" t="s">
        <v>22</v>
      </c>
      <c r="B22" s="26">
        <v>1970</v>
      </c>
      <c r="C22" s="26">
        <v>2998</v>
      </c>
      <c r="D22" s="26">
        <v>1604</v>
      </c>
      <c r="E22" s="26">
        <v>1780</v>
      </c>
      <c r="F22" s="26">
        <v>1237</v>
      </c>
      <c r="G22" s="26">
        <v>1339</v>
      </c>
      <c r="H22" s="26">
        <v>1566</v>
      </c>
      <c r="I22" s="26">
        <v>1899</v>
      </c>
      <c r="J22" s="26">
        <v>1961</v>
      </c>
      <c r="K22" s="26">
        <v>2048</v>
      </c>
    </row>
    <row r="23" spans="1:16" ht="15.5" x14ac:dyDescent="0.35">
      <c r="A23" s="25" t="s">
        <v>23</v>
      </c>
      <c r="B23" s="26">
        <v>4237</v>
      </c>
      <c r="C23" s="26">
        <v>4603</v>
      </c>
      <c r="D23" s="26">
        <v>5022</v>
      </c>
      <c r="E23" s="26">
        <v>5383</v>
      </c>
      <c r="F23" s="26">
        <v>4150</v>
      </c>
      <c r="G23" s="26">
        <v>6384</v>
      </c>
      <c r="H23" s="26">
        <v>5878</v>
      </c>
      <c r="I23" s="26">
        <v>7833</v>
      </c>
      <c r="J23" s="26">
        <v>7602</v>
      </c>
      <c r="K23" s="26">
        <v>7623</v>
      </c>
    </row>
    <row r="24" spans="1:16" ht="15.5" x14ac:dyDescent="0.35">
      <c r="A24" s="25" t="s">
        <v>24</v>
      </c>
      <c r="B24" s="26">
        <v>4237</v>
      </c>
      <c r="C24" s="26">
        <v>4603</v>
      </c>
      <c r="D24" s="26">
        <v>5022</v>
      </c>
      <c r="E24" s="26">
        <v>5383</v>
      </c>
      <c r="F24" s="26">
        <v>4150</v>
      </c>
      <c r="G24" s="26">
        <v>6384</v>
      </c>
      <c r="H24" s="26">
        <v>5878</v>
      </c>
      <c r="I24" s="26">
        <v>7833</v>
      </c>
      <c r="J24" s="26">
        <v>7602</v>
      </c>
      <c r="K24" s="26">
        <v>7623</v>
      </c>
    </row>
    <row r="28" spans="1:16" x14ac:dyDescent="0.35">
      <c r="A28" t="s">
        <v>56</v>
      </c>
      <c r="F28">
        <v>1354</v>
      </c>
      <c r="G28">
        <v>1830</v>
      </c>
      <c r="H28">
        <v>1749</v>
      </c>
      <c r="I28">
        <v>2198</v>
      </c>
      <c r="J28">
        <v>2690</v>
      </c>
      <c r="K28">
        <v>2707</v>
      </c>
      <c r="L28">
        <v>2928</v>
      </c>
      <c r="M28">
        <v>3261</v>
      </c>
      <c r="N28">
        <v>3525</v>
      </c>
      <c r="O28" s="13">
        <f>N28*(1+O30)</f>
        <v>3774.0819325740654</v>
      </c>
      <c r="P28" s="13">
        <f>O28*(1+P30)</f>
        <v>4040.7643783778699</v>
      </c>
    </row>
    <row r="29" spans="1:16" x14ac:dyDescent="0.35">
      <c r="A29" t="s">
        <v>39</v>
      </c>
      <c r="F29" s="8">
        <f>F28/DCF!H27</f>
        <v>8.0360852276099473E-2</v>
      </c>
      <c r="G29" s="8">
        <f>G28/DCF!I27</f>
        <v>9.3143991449076188E-2</v>
      </c>
      <c r="H29" s="8">
        <f>H28/DCF!J27</f>
        <v>7.9290960195847318E-2</v>
      </c>
      <c r="I29" s="8">
        <f>I28/DCF!K27</f>
        <v>9.3210635681268819E-2</v>
      </c>
      <c r="J29" s="8">
        <f>J28/DCF!L27</f>
        <v>0.11226108004340206</v>
      </c>
      <c r="K29" s="8">
        <f>K28/DCF!M27</f>
        <v>0.11021515773959176</v>
      </c>
      <c r="L29" s="8">
        <f>L28/DCF!N27</f>
        <v>0.11630550672115642</v>
      </c>
      <c r="M29" s="8">
        <f>M28/DCF!O27</f>
        <v>0.1263735363913405</v>
      </c>
      <c r="N29" s="8">
        <f>N28/DCF!P27</f>
        <v>0.1332725157716024</v>
      </c>
      <c r="O29" s="8">
        <f>AVERAGE(K29:N29)</f>
        <v>0.12154167915592276</v>
      </c>
      <c r="P29" s="8">
        <f>AVERAGE(L29:O29)</f>
        <v>0.12437330951000553</v>
      </c>
    </row>
    <row r="30" spans="1:16" x14ac:dyDescent="0.35">
      <c r="A30" t="s">
        <v>31</v>
      </c>
      <c r="G30" s="14">
        <f>G28/F28-1</f>
        <v>0.35155096011816833</v>
      </c>
      <c r="H30" s="14">
        <f t="shared" ref="H30:N30" si="0">H28/G28-1</f>
        <v>-4.4262295081967218E-2</v>
      </c>
      <c r="I30" s="14">
        <f t="shared" si="0"/>
        <v>0.25671812464265287</v>
      </c>
      <c r="J30" s="14">
        <f t="shared" si="0"/>
        <v>0.22383985441310283</v>
      </c>
      <c r="K30" s="14">
        <f t="shared" si="0"/>
        <v>6.3197026022305813E-3</v>
      </c>
      <c r="L30" s="14">
        <f t="shared" si="0"/>
        <v>8.1640192094569741E-2</v>
      </c>
      <c r="M30" s="14">
        <f t="shared" si="0"/>
        <v>0.11372950819672134</v>
      </c>
      <c r="N30" s="14">
        <f t="shared" si="0"/>
        <v>8.0956761729530813E-2</v>
      </c>
      <c r="O30" s="10">
        <f>AVERAGE(K30:N30)</f>
        <v>7.0661541155763119E-2</v>
      </c>
      <c r="P30" s="10">
        <f>O30</f>
        <v>7.0661541155763119E-2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10B8-248C-4641-AEB8-8EB1314822F1}">
  <dimension ref="A1:K33"/>
  <sheetViews>
    <sheetView workbookViewId="0">
      <selection activeCell="D6" sqref="D6"/>
    </sheetView>
  </sheetViews>
  <sheetFormatPr defaultRowHeight="14.5" x14ac:dyDescent="0.35"/>
  <cols>
    <col min="1" max="1" width="29.54296875" bestFit="1" customWidth="1"/>
  </cols>
  <sheetData>
    <row r="1" spans="1:11" x14ac:dyDescent="0.35">
      <c r="A1" s="41" t="s">
        <v>0</v>
      </c>
      <c r="B1" s="36">
        <v>46371</v>
      </c>
      <c r="C1" s="36">
        <v>46372</v>
      </c>
      <c r="D1" s="36">
        <v>46373</v>
      </c>
      <c r="E1" s="36">
        <v>46374</v>
      </c>
      <c r="F1" s="36">
        <v>46375</v>
      </c>
      <c r="G1" s="36">
        <v>46376</v>
      </c>
      <c r="H1" s="36">
        <v>46377</v>
      </c>
      <c r="I1" s="36">
        <v>46378</v>
      </c>
      <c r="J1" s="36">
        <v>46379</v>
      </c>
      <c r="K1" s="36">
        <v>46380</v>
      </c>
    </row>
    <row r="2" spans="1:11" x14ac:dyDescent="0.35">
      <c r="A2" s="42" t="s">
        <v>99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35">
      <c r="A3" s="40" t="s">
        <v>100</v>
      </c>
      <c r="B3" s="38">
        <v>7075</v>
      </c>
      <c r="C3" s="38">
        <v>1160</v>
      </c>
      <c r="D3" s="38">
        <v>2052</v>
      </c>
      <c r="E3" s="37">
        <v>758</v>
      </c>
      <c r="F3" s="37">
        <v>800</v>
      </c>
      <c r="G3" s="38">
        <v>2819</v>
      </c>
      <c r="H3" s="38">
        <v>4141</v>
      </c>
      <c r="I3" s="38">
        <v>2421</v>
      </c>
      <c r="J3" s="38">
        <v>4145</v>
      </c>
      <c r="K3" s="38">
        <v>1048</v>
      </c>
    </row>
    <row r="4" spans="1:11" x14ac:dyDescent="0.35">
      <c r="A4" s="40" t="s">
        <v>101</v>
      </c>
      <c r="B4" s="38">
        <v>1196</v>
      </c>
      <c r="C4" s="38">
        <v>1398</v>
      </c>
      <c r="D4" s="38">
        <v>1646</v>
      </c>
      <c r="E4" s="38">
        <v>2136</v>
      </c>
      <c r="F4" s="38">
        <v>1981</v>
      </c>
      <c r="G4" s="38">
        <v>1725</v>
      </c>
      <c r="H4" s="38">
        <v>1647</v>
      </c>
      <c r="I4" s="38">
        <v>1982</v>
      </c>
      <c r="J4" s="38">
        <v>2252</v>
      </c>
      <c r="K4" s="38">
        <v>2301</v>
      </c>
    </row>
    <row r="5" spans="1:11" x14ac:dyDescent="0.35">
      <c r="A5" s="40" t="s">
        <v>59</v>
      </c>
      <c r="B5" s="37">
        <v>92</v>
      </c>
      <c r="C5" s="37">
        <v>56</v>
      </c>
      <c r="D5" s="37">
        <v>49</v>
      </c>
      <c r="E5" s="37">
        <v>45</v>
      </c>
      <c r="F5" s="37">
        <v>45</v>
      </c>
      <c r="G5" s="37">
        <v>42</v>
      </c>
      <c r="H5" s="37">
        <v>49</v>
      </c>
      <c r="I5" s="37">
        <v>49</v>
      </c>
      <c r="J5" s="37">
        <v>48</v>
      </c>
      <c r="K5" s="37">
        <v>54</v>
      </c>
    </row>
    <row r="6" spans="1:11" x14ac:dyDescent="0.35">
      <c r="A6" s="40" t="s">
        <v>102</v>
      </c>
      <c r="B6" s="37">
        <v>514</v>
      </c>
      <c r="C6" s="38">
        <v>1984</v>
      </c>
      <c r="D6" s="37">
        <v>690</v>
      </c>
      <c r="E6" s="37">
        <v>608</v>
      </c>
      <c r="F6" s="37">
        <v>343</v>
      </c>
      <c r="G6" s="37">
        <v>517</v>
      </c>
      <c r="H6" s="37">
        <v>450</v>
      </c>
      <c r="I6" s="37">
        <v>631</v>
      </c>
      <c r="J6" s="37">
        <v>784</v>
      </c>
      <c r="K6" s="38">
        <v>1037</v>
      </c>
    </row>
    <row r="7" spans="1:11" x14ac:dyDescent="0.35">
      <c r="A7" s="42" t="s">
        <v>60</v>
      </c>
      <c r="B7" s="39">
        <v>8877</v>
      </c>
      <c r="C7" s="39">
        <v>4597</v>
      </c>
      <c r="D7" s="39">
        <v>4436</v>
      </c>
      <c r="E7" s="39">
        <v>3546</v>
      </c>
      <c r="F7" s="39">
        <v>3170</v>
      </c>
      <c r="G7" s="39">
        <v>5103</v>
      </c>
      <c r="H7" s="39">
        <v>6286</v>
      </c>
      <c r="I7" s="39">
        <v>5082</v>
      </c>
      <c r="J7" s="39">
        <v>7230</v>
      </c>
      <c r="K7" s="39">
        <v>4440</v>
      </c>
    </row>
    <row r="8" spans="1:11" x14ac:dyDescent="0.35">
      <c r="A8" s="40" t="s">
        <v>103</v>
      </c>
      <c r="B8" s="38">
        <v>21281</v>
      </c>
      <c r="C8" s="38">
        <v>20154</v>
      </c>
      <c r="D8" s="38">
        <v>18694</v>
      </c>
      <c r="E8" s="38">
        <v>19982</v>
      </c>
      <c r="F8" s="38">
        <v>33337</v>
      </c>
      <c r="G8" s="38">
        <v>31699</v>
      </c>
      <c r="H8" s="38">
        <v>33655</v>
      </c>
      <c r="I8" s="38">
        <v>34049</v>
      </c>
      <c r="J8" s="38">
        <v>34782</v>
      </c>
      <c r="K8" s="38">
        <v>37310</v>
      </c>
    </row>
    <row r="9" spans="1:11" x14ac:dyDescent="0.35">
      <c r="A9" s="40" t="s">
        <v>104</v>
      </c>
      <c r="B9" s="37">
        <v>864</v>
      </c>
      <c r="C9" s="37">
        <v>692</v>
      </c>
      <c r="D9" s="38">
        <v>1044</v>
      </c>
      <c r="E9" s="38">
        <v>1056</v>
      </c>
      <c r="F9" s="38">
        <v>1310</v>
      </c>
      <c r="G9" s="38">
        <v>1089</v>
      </c>
      <c r="H9" s="38">
        <v>1265</v>
      </c>
      <c r="I9" s="38">
        <v>1024</v>
      </c>
      <c r="J9" s="38">
        <v>1151</v>
      </c>
      <c r="K9" s="38">
        <v>2656</v>
      </c>
    </row>
    <row r="10" spans="1:11" x14ac:dyDescent="0.35">
      <c r="A10" s="40" t="s">
        <v>105</v>
      </c>
      <c r="B10" s="38">
        <v>2316</v>
      </c>
      <c r="C10" s="38">
        <v>2215</v>
      </c>
      <c r="D10" s="38">
        <v>1982</v>
      </c>
      <c r="E10" s="38">
        <v>2040</v>
      </c>
      <c r="F10" s="38">
        <v>2978</v>
      </c>
      <c r="G10" s="38">
        <v>2831</v>
      </c>
      <c r="H10" s="38">
        <v>3146</v>
      </c>
      <c r="I10" s="38">
        <v>3527</v>
      </c>
      <c r="J10" s="38">
        <v>3509</v>
      </c>
      <c r="K10" s="38">
        <v>3913</v>
      </c>
    </row>
    <row r="11" spans="1:11" x14ac:dyDescent="0.35">
      <c r="A11" s="40" t="s">
        <v>106</v>
      </c>
      <c r="B11" s="37">
        <v>490</v>
      </c>
      <c r="C11" s="37">
        <v>762</v>
      </c>
      <c r="D11" s="37">
        <v>723</v>
      </c>
      <c r="E11" s="38">
        <v>1067</v>
      </c>
      <c r="F11" s="38">
        <v>1015</v>
      </c>
      <c r="G11" s="38">
        <v>1745</v>
      </c>
      <c r="H11" s="38">
        <v>2073</v>
      </c>
      <c r="I11" s="38">
        <v>2321</v>
      </c>
      <c r="J11" s="38">
        <v>2737</v>
      </c>
      <c r="K11" s="38">
        <v>3422</v>
      </c>
    </row>
    <row r="12" spans="1:11" x14ac:dyDescent="0.35">
      <c r="A12" s="40" t="s">
        <v>107</v>
      </c>
      <c r="B12" s="38">
        <v>1096</v>
      </c>
      <c r="C12" s="37">
        <v>993</v>
      </c>
      <c r="D12" s="38">
        <v>1272</v>
      </c>
      <c r="E12" s="38">
        <v>1013</v>
      </c>
      <c r="F12" s="37">
        <v>516</v>
      </c>
      <c r="G12" s="37">
        <v>543</v>
      </c>
      <c r="H12" s="37">
        <v>933</v>
      </c>
      <c r="I12" s="38">
        <v>1253</v>
      </c>
      <c r="J12" s="38">
        <v>1419</v>
      </c>
      <c r="K12" s="38">
        <v>1550</v>
      </c>
    </row>
    <row r="13" spans="1:11" x14ac:dyDescent="0.35">
      <c r="A13" s="42" t="s">
        <v>108</v>
      </c>
      <c r="B13" s="39">
        <v>34925</v>
      </c>
      <c r="C13" s="39">
        <v>29414</v>
      </c>
      <c r="D13" s="39">
        <v>28151</v>
      </c>
      <c r="E13" s="39">
        <v>28702</v>
      </c>
      <c r="F13" s="39">
        <v>42326</v>
      </c>
      <c r="G13" s="39">
        <v>43012</v>
      </c>
      <c r="H13" s="39">
        <v>47357</v>
      </c>
      <c r="I13" s="39">
        <v>47258</v>
      </c>
      <c r="J13" s="39">
        <v>50828</v>
      </c>
      <c r="K13" s="39">
        <v>53290</v>
      </c>
    </row>
    <row r="14" spans="1:11" x14ac:dyDescent="0.35">
      <c r="A14" s="40"/>
      <c r="B14" s="37"/>
      <c r="C14" s="37"/>
      <c r="D14" s="37"/>
      <c r="E14" s="37"/>
      <c r="F14" s="37"/>
      <c r="G14" s="37"/>
      <c r="H14" s="37"/>
      <c r="I14" s="37"/>
      <c r="J14" s="37"/>
      <c r="K14" s="37"/>
    </row>
    <row r="15" spans="1:11" x14ac:dyDescent="0.35">
      <c r="A15" s="42" t="s">
        <v>109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 spans="1:11" x14ac:dyDescent="0.35">
      <c r="A16" s="40" t="s">
        <v>110</v>
      </c>
      <c r="B16" s="37">
        <v>0</v>
      </c>
      <c r="C16" s="37">
        <v>73</v>
      </c>
      <c r="D16" s="37">
        <v>0</v>
      </c>
      <c r="E16" s="37">
        <v>0</v>
      </c>
      <c r="F16" s="37">
        <v>606</v>
      </c>
      <c r="G16" s="38">
        <v>2407</v>
      </c>
      <c r="H16" s="37">
        <v>620</v>
      </c>
      <c r="I16" s="37">
        <v>619</v>
      </c>
      <c r="J16" s="38">
        <v>2608</v>
      </c>
      <c r="K16" s="37">
        <v>614</v>
      </c>
    </row>
    <row r="17" spans="1:11" x14ac:dyDescent="0.35">
      <c r="A17" s="40" t="s">
        <v>111</v>
      </c>
      <c r="B17" s="37">
        <v>805</v>
      </c>
      <c r="C17" s="37">
        <v>717</v>
      </c>
      <c r="D17" s="37">
        <v>770</v>
      </c>
      <c r="E17" s="38">
        <v>1057</v>
      </c>
      <c r="F17" s="37">
        <v>880</v>
      </c>
      <c r="G17" s="37">
        <v>606</v>
      </c>
      <c r="H17" s="37">
        <v>885</v>
      </c>
      <c r="I17" s="37">
        <v>918</v>
      </c>
      <c r="J17" s="37">
        <v>998</v>
      </c>
      <c r="K17" s="37">
        <v>994</v>
      </c>
    </row>
    <row r="18" spans="1:11" x14ac:dyDescent="0.35">
      <c r="A18" s="40" t="s">
        <v>112</v>
      </c>
      <c r="B18" s="37">
        <v>143</v>
      </c>
      <c r="C18" s="37">
        <v>253</v>
      </c>
      <c r="D18" s="37">
        <v>221</v>
      </c>
      <c r="E18" s="37">
        <v>200</v>
      </c>
      <c r="F18" s="37">
        <v>296</v>
      </c>
      <c r="G18" s="37">
        <v>606</v>
      </c>
      <c r="H18" s="37">
        <v>317</v>
      </c>
      <c r="I18" s="37">
        <v>258</v>
      </c>
      <c r="J18" s="37">
        <v>638</v>
      </c>
      <c r="K18" s="37">
        <v>349</v>
      </c>
    </row>
    <row r="19" spans="1:11" x14ac:dyDescent="0.35">
      <c r="A19" s="40" t="s">
        <v>113</v>
      </c>
      <c r="B19" s="38">
        <v>1768</v>
      </c>
      <c r="C19" s="38">
        <v>2245</v>
      </c>
      <c r="D19" s="38">
        <v>1416</v>
      </c>
      <c r="E19" s="38">
        <v>1345</v>
      </c>
      <c r="F19" s="38">
        <v>1444</v>
      </c>
      <c r="G19" s="38">
        <v>1433</v>
      </c>
      <c r="H19" s="38">
        <v>1712</v>
      </c>
      <c r="I19" s="38">
        <v>1767</v>
      </c>
      <c r="J19" s="38">
        <v>1965</v>
      </c>
      <c r="K19" s="38">
        <v>1772</v>
      </c>
    </row>
    <row r="20" spans="1:11" x14ac:dyDescent="0.35">
      <c r="A20" s="42" t="s">
        <v>62</v>
      </c>
      <c r="B20" s="39">
        <v>2716</v>
      </c>
      <c r="C20" s="39">
        <v>3288</v>
      </c>
      <c r="D20" s="39">
        <v>2407</v>
      </c>
      <c r="E20" s="39">
        <v>2601</v>
      </c>
      <c r="F20" s="39">
        <v>3226</v>
      </c>
      <c r="G20" s="39">
        <v>5052</v>
      </c>
      <c r="H20" s="39">
        <v>3535</v>
      </c>
      <c r="I20" s="39">
        <v>3563</v>
      </c>
      <c r="J20" s="39">
        <v>6209</v>
      </c>
      <c r="K20" s="39">
        <v>3729</v>
      </c>
    </row>
    <row r="21" spans="1:11" x14ac:dyDescent="0.35">
      <c r="A21" s="40" t="s">
        <v>114</v>
      </c>
      <c r="B21" s="38">
        <v>22206</v>
      </c>
      <c r="C21" s="38">
        <v>24535</v>
      </c>
      <c r="D21" s="38">
        <v>24597</v>
      </c>
      <c r="E21" s="38">
        <v>27184</v>
      </c>
      <c r="F21" s="38">
        <v>41760</v>
      </c>
      <c r="G21" s="38">
        <v>39654</v>
      </c>
      <c r="H21" s="38">
        <v>42775</v>
      </c>
      <c r="I21" s="38">
        <v>45011</v>
      </c>
      <c r="J21" s="38">
        <v>45454</v>
      </c>
      <c r="K21" s="38">
        <v>49553</v>
      </c>
    </row>
    <row r="22" spans="1:11" x14ac:dyDescent="0.35">
      <c r="A22" s="40" t="s">
        <v>115</v>
      </c>
      <c r="B22" s="38">
        <v>1569</v>
      </c>
      <c r="C22" s="38">
        <v>1723</v>
      </c>
      <c r="D22" s="37">
        <v>932</v>
      </c>
      <c r="E22" s="38">
        <v>1063</v>
      </c>
      <c r="F22" s="38">
        <v>1174</v>
      </c>
      <c r="G22" s="38">
        <v>1656</v>
      </c>
      <c r="H22" s="38">
        <v>1825</v>
      </c>
      <c r="I22" s="38">
        <v>1872</v>
      </c>
      <c r="J22" s="38">
        <v>1522</v>
      </c>
      <c r="K22" s="38">
        <v>1848</v>
      </c>
    </row>
    <row r="23" spans="1:11" x14ac:dyDescent="0.35">
      <c r="A23" s="40" t="s">
        <v>116</v>
      </c>
      <c r="B23" s="38">
        <v>1909</v>
      </c>
      <c r="C23" s="38">
        <v>1957</v>
      </c>
      <c r="D23" s="38">
        <v>2936</v>
      </c>
      <c r="E23" s="38">
        <v>3329</v>
      </c>
      <c r="F23" s="38">
        <v>3480</v>
      </c>
      <c r="G23" s="38">
        <v>3046</v>
      </c>
      <c r="H23" s="38">
        <v>3268</v>
      </c>
      <c r="I23" s="38">
        <v>2438</v>
      </c>
      <c r="J23" s="38">
        <v>1904</v>
      </c>
      <c r="K23" s="38">
        <v>1827</v>
      </c>
    </row>
    <row r="24" spans="1:11" x14ac:dyDescent="0.35">
      <c r="A24" s="42" t="s">
        <v>117</v>
      </c>
      <c r="B24" s="39">
        <v>28400</v>
      </c>
      <c r="C24" s="39">
        <v>31503</v>
      </c>
      <c r="D24" s="39">
        <v>30873</v>
      </c>
      <c r="E24" s="39">
        <v>34177</v>
      </c>
      <c r="F24" s="39">
        <v>49640</v>
      </c>
      <c r="G24" s="39">
        <v>49407</v>
      </c>
      <c r="H24" s="39">
        <v>51403</v>
      </c>
      <c r="I24" s="39">
        <v>52883</v>
      </c>
      <c r="J24" s="39">
        <v>55088</v>
      </c>
      <c r="K24" s="39">
        <v>56957</v>
      </c>
    </row>
    <row r="25" spans="1:11" x14ac:dyDescent="0.35">
      <c r="A25" s="40"/>
      <c r="B25" s="37"/>
      <c r="C25" s="37"/>
      <c r="D25" s="37"/>
      <c r="E25" s="37"/>
      <c r="F25" s="37"/>
      <c r="G25" s="37"/>
      <c r="H25" s="37"/>
      <c r="I25" s="37"/>
      <c r="J25" s="37"/>
      <c r="K25" s="37"/>
    </row>
    <row r="26" spans="1:11" x14ac:dyDescent="0.35">
      <c r="A26" s="42" t="s">
        <v>118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</row>
    <row r="27" spans="1:11" x14ac:dyDescent="0.35">
      <c r="A27" s="40" t="s">
        <v>119</v>
      </c>
      <c r="B27" s="37">
        <v>15</v>
      </c>
      <c r="C27" s="37">
        <v>16</v>
      </c>
      <c r="D27" s="37">
        <v>14</v>
      </c>
      <c r="E27" s="37">
        <v>15</v>
      </c>
      <c r="F27" s="37">
        <v>15</v>
      </c>
      <c r="G27" s="37">
        <v>14</v>
      </c>
      <c r="H27" s="37">
        <v>15</v>
      </c>
      <c r="I27" s="37">
        <v>16</v>
      </c>
      <c r="J27" s="37">
        <v>15</v>
      </c>
      <c r="K27" s="37">
        <v>16</v>
      </c>
    </row>
    <row r="28" spans="1:11" x14ac:dyDescent="0.35">
      <c r="A28" s="40" t="s">
        <v>120</v>
      </c>
      <c r="B28" s="38">
        <v>6014</v>
      </c>
      <c r="C28" s="38">
        <v>6107</v>
      </c>
      <c r="D28" s="38">
        <v>5890</v>
      </c>
      <c r="E28" s="38">
        <v>6415</v>
      </c>
      <c r="F28" s="38">
        <v>6819</v>
      </c>
      <c r="G28" s="38">
        <v>6460</v>
      </c>
      <c r="H28" s="38">
        <v>7238</v>
      </c>
      <c r="I28" s="38">
        <v>8009</v>
      </c>
      <c r="J28" s="38">
        <v>8050</v>
      </c>
      <c r="K28" s="38">
        <v>8963</v>
      </c>
    </row>
    <row r="29" spans="1:11" x14ac:dyDescent="0.35">
      <c r="A29" s="40" t="s">
        <v>121</v>
      </c>
      <c r="B29" s="38">
        <v>41052</v>
      </c>
      <c r="C29" s="38">
        <v>43823</v>
      </c>
      <c r="D29" s="38">
        <v>40245</v>
      </c>
      <c r="E29" s="38">
        <v>44165</v>
      </c>
      <c r="F29" s="38">
        <v>47154</v>
      </c>
      <c r="G29" s="38">
        <v>44059</v>
      </c>
      <c r="H29" s="38">
        <v>50593</v>
      </c>
      <c r="I29" s="38">
        <v>55792</v>
      </c>
      <c r="J29" s="38">
        <v>57466</v>
      </c>
      <c r="K29" s="38">
        <v>64543</v>
      </c>
    </row>
    <row r="30" spans="1:11" x14ac:dyDescent="0.35">
      <c r="A30" s="40" t="s">
        <v>122</v>
      </c>
      <c r="B30" s="38">
        <v>-37906</v>
      </c>
      <c r="C30" s="38">
        <v>-49404</v>
      </c>
      <c r="D30" s="38">
        <v>-47056</v>
      </c>
      <c r="E30" s="38">
        <v>-53824</v>
      </c>
      <c r="F30" s="38">
        <v>-59090</v>
      </c>
      <c r="G30" s="38">
        <v>-54813</v>
      </c>
      <c r="H30" s="38">
        <v>-59629</v>
      </c>
      <c r="I30" s="38">
        <v>-67111</v>
      </c>
      <c r="J30" s="38">
        <v>-67569</v>
      </c>
      <c r="K30" s="38">
        <v>-74722</v>
      </c>
    </row>
    <row r="31" spans="1:11" x14ac:dyDescent="0.35">
      <c r="A31" s="40" t="s">
        <v>123</v>
      </c>
      <c r="B31" s="38">
        <v>-2650</v>
      </c>
      <c r="C31" s="38">
        <v>-2632</v>
      </c>
      <c r="D31" s="38">
        <v>-1815</v>
      </c>
      <c r="E31" s="38">
        <v>-2246</v>
      </c>
      <c r="F31" s="38">
        <v>-2212</v>
      </c>
      <c r="G31" s="38">
        <v>-2115</v>
      </c>
      <c r="H31" s="38">
        <v>-2263</v>
      </c>
      <c r="I31" s="38">
        <v>-2331</v>
      </c>
      <c r="J31" s="38">
        <v>-2223</v>
      </c>
      <c r="K31" s="38">
        <v>-2467</v>
      </c>
    </row>
    <row r="32" spans="1:11" x14ac:dyDescent="0.35">
      <c r="A32" s="42" t="s">
        <v>124</v>
      </c>
      <c r="B32" s="39">
        <v>6525</v>
      </c>
      <c r="C32" s="39">
        <v>-2090</v>
      </c>
      <c r="D32" s="39">
        <v>-2722</v>
      </c>
      <c r="E32" s="39">
        <v>-5475</v>
      </c>
      <c r="F32" s="39">
        <v>-7314</v>
      </c>
      <c r="G32" s="39">
        <v>-6395</v>
      </c>
      <c r="H32" s="39">
        <v>-4046</v>
      </c>
      <c r="I32" s="39">
        <v>-5625</v>
      </c>
      <c r="J32" s="39">
        <v>-4261</v>
      </c>
      <c r="K32" s="39">
        <v>-3667</v>
      </c>
    </row>
    <row r="33" spans="1:11" x14ac:dyDescent="0.35">
      <c r="A33" s="42" t="s">
        <v>125</v>
      </c>
      <c r="B33" s="39">
        <v>34925</v>
      </c>
      <c r="C33" s="39">
        <v>29414</v>
      </c>
      <c r="D33" s="39">
        <v>28151</v>
      </c>
      <c r="E33" s="39">
        <v>28702</v>
      </c>
      <c r="F33" s="39">
        <v>42326</v>
      </c>
      <c r="G33" s="39">
        <v>43012</v>
      </c>
      <c r="H33" s="39">
        <v>47357</v>
      </c>
      <c r="I33" s="39">
        <v>47258</v>
      </c>
      <c r="J33" s="39">
        <v>50828</v>
      </c>
      <c r="K33" s="39">
        <v>53290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D6CC-C8E3-4B4C-8D49-9351DF2CA00E}">
  <dimension ref="A1:G23"/>
  <sheetViews>
    <sheetView topLeftCell="A4" zoomScale="90" zoomScaleNormal="90" workbookViewId="0">
      <selection activeCell="J12" sqref="J12"/>
    </sheetView>
  </sheetViews>
  <sheetFormatPr defaultRowHeight="14.5" x14ac:dyDescent="0.35"/>
  <cols>
    <col min="1" max="1" width="10.453125" bestFit="1" customWidth="1"/>
    <col min="2" max="2" width="7.7265625" customWidth="1"/>
  </cols>
  <sheetData>
    <row r="1" spans="1:7" s="49" customFormat="1" x14ac:dyDescent="0.35"/>
    <row r="2" spans="1:7" s="49" customFormat="1" x14ac:dyDescent="0.35"/>
    <row r="3" spans="1:7" s="49" customFormat="1" ht="15.5" x14ac:dyDescent="0.35">
      <c r="A3" s="50" t="s">
        <v>67</v>
      </c>
    </row>
    <row r="5" spans="1:7" x14ac:dyDescent="0.35">
      <c r="A5" t="s">
        <v>69</v>
      </c>
      <c r="B5" s="51" t="s">
        <v>68</v>
      </c>
      <c r="C5" s="51"/>
      <c r="D5" s="51"/>
      <c r="E5" s="51"/>
      <c r="F5" s="51"/>
      <c r="G5" s="51"/>
    </row>
    <row r="7" spans="1:7" x14ac:dyDescent="0.35">
      <c r="A7" t="s">
        <v>70</v>
      </c>
      <c r="B7" s="51" t="s">
        <v>71</v>
      </c>
      <c r="C7" s="51"/>
    </row>
    <row r="8" spans="1:7" x14ac:dyDescent="0.35">
      <c r="A8" t="s">
        <v>70</v>
      </c>
      <c r="B8" s="51" t="s">
        <v>72</v>
      </c>
      <c r="C8" s="51"/>
    </row>
    <row r="10" spans="1:7" x14ac:dyDescent="0.35">
      <c r="A10" t="s">
        <v>73</v>
      </c>
      <c r="B10" s="14">
        <v>4.4999999999999998E-2</v>
      </c>
      <c r="C10" s="48" t="s">
        <v>83</v>
      </c>
      <c r="D10" s="48"/>
      <c r="E10" s="48"/>
    </row>
    <row r="11" spans="1:7" x14ac:dyDescent="0.35">
      <c r="A11" t="s">
        <v>75</v>
      </c>
      <c r="B11">
        <v>0.7</v>
      </c>
      <c r="C11" s="6" t="s">
        <v>84</v>
      </c>
    </row>
    <row r="12" spans="1:7" x14ac:dyDescent="0.35">
      <c r="A12" t="s">
        <v>74</v>
      </c>
      <c r="B12" s="14">
        <v>4.5999999999999999E-2</v>
      </c>
      <c r="C12" s="6" t="s">
        <v>85</v>
      </c>
    </row>
    <row r="13" spans="1:7" x14ac:dyDescent="0.35">
      <c r="A13" t="s">
        <v>76</v>
      </c>
      <c r="B13" s="14">
        <f>tgr+B11*B12</f>
        <v>7.7199999999999991E-2</v>
      </c>
    </row>
    <row r="15" spans="1:7" x14ac:dyDescent="0.35">
      <c r="A15" t="s">
        <v>77</v>
      </c>
      <c r="B15" t="s">
        <v>78</v>
      </c>
    </row>
    <row r="16" spans="1:7" x14ac:dyDescent="0.35">
      <c r="A16" t="s">
        <v>77</v>
      </c>
      <c r="B16" s="8">
        <v>0.06</v>
      </c>
    </row>
    <row r="18" spans="1:3" x14ac:dyDescent="0.35">
      <c r="A18" t="s">
        <v>79</v>
      </c>
      <c r="B18">
        <v>217140</v>
      </c>
      <c r="C18" s="6" t="s">
        <v>86</v>
      </c>
    </row>
    <row r="19" spans="1:3" x14ac:dyDescent="0.35">
      <c r="A19" t="s">
        <v>80</v>
      </c>
      <c r="B19">
        <v>49533</v>
      </c>
    </row>
    <row r="20" spans="1:3" x14ac:dyDescent="0.35">
      <c r="A20" t="s">
        <v>81</v>
      </c>
      <c r="B20" s="8">
        <f>B18/(B18+B19)</f>
        <v>0.81425566142804107</v>
      </c>
    </row>
    <row r="21" spans="1:3" x14ac:dyDescent="0.35">
      <c r="A21" t="s">
        <v>82</v>
      </c>
      <c r="B21" s="8">
        <f>1-B20</f>
        <v>0.18574433857195893</v>
      </c>
    </row>
    <row r="23" spans="1:3" x14ac:dyDescent="0.35">
      <c r="A23" t="s">
        <v>67</v>
      </c>
      <c r="B23" s="10">
        <f>B13*B20+B21*B16</f>
        <v>7.400519737656229E-2</v>
      </c>
    </row>
  </sheetData>
  <mergeCells count="7">
    <mergeCell ref="C10:E10"/>
    <mergeCell ref="A1:XFD1"/>
    <mergeCell ref="A2:XFD2"/>
    <mergeCell ref="A3:XFD3"/>
    <mergeCell ref="B5:G5"/>
    <mergeCell ref="B7:C7"/>
    <mergeCell ref="B8:C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DCF</vt:lpstr>
      <vt:lpstr>INPUT&gt;&gt;&gt;</vt:lpstr>
      <vt:lpstr>IS</vt:lpstr>
      <vt:lpstr>BS</vt:lpstr>
      <vt:lpstr>WACC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Arjun Panwar</dc:creator>
  <cp:lastModifiedBy>Anmol Arjun Panwar</cp:lastModifiedBy>
  <cp:lastPrinted>2026-06-10T04:33:03Z</cp:lastPrinted>
  <dcterms:created xsi:type="dcterms:W3CDTF">2026-06-08T10:57:25Z</dcterms:created>
  <dcterms:modified xsi:type="dcterms:W3CDTF">2026-07-01T10:35:15Z</dcterms:modified>
</cp:coreProperties>
</file>